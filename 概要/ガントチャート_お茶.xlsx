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B130C109-CBF5-44EE-86A3-8EF5C1474711}" xr6:coauthVersionLast="47" xr6:coauthVersionMax="47" xr10:uidLastSave="{00000000-0000-0000-0000-000000000000}"/>
  <bookViews>
    <workbookView xWindow="6510" yWindow="735" windowWidth="21600" windowHeight="14490" xr2:uid="{00000000-000D-0000-FFFF-FFFF00000000}"/>
  </bookViews>
  <sheets>
    <sheet name="進捗確認表" sheetId="19" r:id="rId1"/>
    <sheet name="進捗確認表_記入例" sheetId="18" r:id="rId2"/>
  </sheets>
  <definedNames>
    <definedName name="タスク_開始" localSheetId="0">#REF!</definedName>
    <definedName name="タスク_開始" localSheetId="1">#REF!</definedName>
    <definedName name="タスク_終了" localSheetId="0">#REF!</definedName>
    <definedName name="タスク_終了" localSheetId="1">#REF!</definedName>
    <definedName name="タスク_進捗状況" localSheetId="0">#REF!</definedName>
    <definedName name="タスク_進捗状況" localSheetId="1">#REF!</definedName>
    <definedName name="プロジェクトの開始" localSheetId="0">#REF!</definedName>
    <definedName name="プロジェクトの開始" localSheetId="1">#REF!</definedName>
    <definedName name="プロジェクトの開始">#REF!</definedName>
    <definedName name="週表示" localSheetId="0">#REF!</definedName>
    <definedName name="週表示" localSheetId="1">#REF!</definedName>
    <definedName name="週表示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9" l="1"/>
  <c r="I6" i="19" s="1"/>
  <c r="J6" i="19" s="1"/>
  <c r="K6" i="19" s="1"/>
  <c r="L6" i="19" s="1"/>
  <c r="H5" i="19" l="1"/>
  <c r="M5" i="19" s="1"/>
  <c r="R5" i="19" s="1"/>
  <c r="W5" i="19" s="1"/>
  <c r="H7" i="18"/>
  <c r="I7" i="18" s="1"/>
  <c r="J7" i="18" s="1"/>
  <c r="K7" i="18" s="1"/>
  <c r="L7" i="18" s="1"/>
  <c r="R6" i="19" l="1"/>
  <c r="S6" i="19" s="1"/>
  <c r="T6" i="19" s="1"/>
  <c r="U6" i="19" s="1"/>
  <c r="V6" i="19" s="1"/>
  <c r="M6" i="19"/>
  <c r="N6" i="19" s="1"/>
  <c r="O6" i="19" s="1"/>
  <c r="P6" i="19" s="1"/>
  <c r="Q6" i="19" s="1"/>
  <c r="AB5" i="19"/>
  <c r="W6" i="19"/>
  <c r="X6" i="19" s="1"/>
  <c r="Y6" i="19" s="1"/>
  <c r="Z6" i="19" s="1"/>
  <c r="AA6" i="19" s="1"/>
  <c r="H6" i="18"/>
  <c r="M6" i="18" s="1"/>
  <c r="AG5" i="19" l="1"/>
  <c r="AB6" i="19"/>
  <c r="AC6" i="19" s="1"/>
  <c r="AD6" i="19" s="1"/>
  <c r="AE6" i="19" s="1"/>
  <c r="AF6" i="19" s="1"/>
  <c r="R6" i="18"/>
  <c r="M7" i="18"/>
  <c r="N7" i="18" s="1"/>
  <c r="O7" i="18" s="1"/>
  <c r="P7" i="18" s="1"/>
  <c r="Q7" i="18" s="1"/>
  <c r="AG6" i="19" l="1"/>
  <c r="AH6" i="19" s="1"/>
  <c r="AI6" i="19" s="1"/>
  <c r="AJ6" i="19" s="1"/>
  <c r="AK6" i="19" s="1"/>
  <c r="AL5" i="19"/>
  <c r="R7" i="18"/>
  <c r="S7" i="18" s="1"/>
  <c r="T7" i="18" s="1"/>
  <c r="U7" i="18" s="1"/>
  <c r="V7" i="18" s="1"/>
  <c r="W6" i="18"/>
  <c r="AQ5" i="19" l="1"/>
  <c r="AL6" i="19"/>
  <c r="AM6" i="19" s="1"/>
  <c r="AN6" i="19" s="1"/>
  <c r="AO6" i="19" s="1"/>
  <c r="AP6" i="19" s="1"/>
  <c r="AB6" i="18"/>
  <c r="W7" i="18"/>
  <c r="X7" i="18" s="1"/>
  <c r="Y7" i="18" s="1"/>
  <c r="Z7" i="18" s="1"/>
  <c r="AA7" i="18" s="1"/>
  <c r="AQ6" i="19" l="1"/>
  <c r="AR6" i="19" s="1"/>
  <c r="AS6" i="19" s="1"/>
  <c r="AT6" i="19" s="1"/>
  <c r="AU6" i="19" s="1"/>
  <c r="AV5" i="19"/>
  <c r="AB7" i="18"/>
  <c r="AC7" i="18" s="1"/>
  <c r="AD7" i="18" s="1"/>
  <c r="AE7" i="18" s="1"/>
  <c r="AF7" i="18" s="1"/>
  <c r="AG6" i="18"/>
  <c r="BA5" i="19" l="1"/>
  <c r="AV6" i="19"/>
  <c r="AW6" i="19" s="1"/>
  <c r="AX6" i="19" s="1"/>
  <c r="AY6" i="19" s="1"/>
  <c r="AZ6" i="19" s="1"/>
  <c r="AG7" i="18"/>
  <c r="AH7" i="18" s="1"/>
  <c r="AI7" i="18" s="1"/>
  <c r="AJ7" i="18" s="1"/>
  <c r="AK7" i="18" s="1"/>
  <c r="AL6" i="18"/>
  <c r="BA6" i="19" l="1"/>
  <c r="BB6" i="19" s="1"/>
  <c r="BC6" i="19" s="1"/>
  <c r="BD6" i="19" s="1"/>
  <c r="BE6" i="19" s="1"/>
  <c r="BF5" i="19"/>
  <c r="AL7" i="18"/>
  <c r="AM7" i="18" s="1"/>
  <c r="AN7" i="18" s="1"/>
  <c r="AO7" i="18" s="1"/>
  <c r="AP7" i="18" s="1"/>
  <c r="AQ6" i="18"/>
  <c r="BK5" i="19" l="1"/>
  <c r="BF6" i="19"/>
  <c r="BG6" i="19" s="1"/>
  <c r="BH6" i="19" s="1"/>
  <c r="BI6" i="19" s="1"/>
  <c r="BJ6" i="19" s="1"/>
  <c r="AQ7" i="18"/>
  <c r="AR7" i="18" s="1"/>
  <c r="AS7" i="18" s="1"/>
  <c r="AT7" i="18" s="1"/>
  <c r="AU7" i="18" s="1"/>
  <c r="AV6" i="18"/>
  <c r="BK6" i="19" l="1"/>
  <c r="BL6" i="19" s="1"/>
  <c r="BM6" i="19" s="1"/>
  <c r="BN6" i="19" s="1"/>
  <c r="BO6" i="19" s="1"/>
  <c r="BP5" i="19"/>
  <c r="AV7" i="18"/>
  <c r="AW7" i="18" s="1"/>
  <c r="AX7" i="18" s="1"/>
  <c r="AY7" i="18" s="1"/>
  <c r="AZ7" i="18" s="1"/>
  <c r="BA6" i="18"/>
  <c r="BP6" i="19" l="1"/>
  <c r="BQ6" i="19" s="1"/>
  <c r="BR6" i="19" s="1"/>
  <c r="BS6" i="19" s="1"/>
  <c r="BT6" i="19" s="1"/>
  <c r="BU5" i="19"/>
  <c r="BF6" i="18"/>
  <c r="BA7" i="18"/>
  <c r="BB7" i="18" s="1"/>
  <c r="BC7" i="18" s="1"/>
  <c r="BD7" i="18" s="1"/>
  <c r="BE7" i="18" s="1"/>
  <c r="BZ5" i="19" l="1"/>
  <c r="BU6" i="19"/>
  <c r="BV6" i="19" s="1"/>
  <c r="BW6" i="19" s="1"/>
  <c r="BX6" i="19" s="1"/>
  <c r="BY6" i="19" s="1"/>
  <c r="BF7" i="18"/>
  <c r="BG7" i="18" s="1"/>
  <c r="BH7" i="18" s="1"/>
  <c r="BI7" i="18" s="1"/>
  <c r="BJ7" i="18" s="1"/>
  <c r="BK6" i="18"/>
  <c r="BZ6" i="19" l="1"/>
  <c r="CA6" i="19" s="1"/>
  <c r="CB6" i="19" s="1"/>
  <c r="CC6" i="19" s="1"/>
  <c r="CD6" i="19" s="1"/>
  <c r="CE5" i="19"/>
  <c r="BK7" i="18"/>
  <c r="BL7" i="18" s="1"/>
  <c r="BM7" i="18" s="1"/>
  <c r="BN7" i="18" s="1"/>
  <c r="BO7" i="18" s="1"/>
  <c r="BP6" i="18"/>
  <c r="CE6" i="19" l="1"/>
  <c r="CF6" i="19" s="1"/>
  <c r="CG6" i="19" s="1"/>
  <c r="CH6" i="19" s="1"/>
  <c r="CI6" i="19" s="1"/>
  <c r="BP7" i="18"/>
  <c r="BQ7" i="18" s="1"/>
  <c r="BR7" i="18" s="1"/>
  <c r="BS7" i="18" s="1"/>
  <c r="BT7" i="18" s="1"/>
  <c r="BU6" i="18"/>
  <c r="BU7" i="18" l="1"/>
  <c r="BV7" i="18" s="1"/>
  <c r="BW7" i="18" s="1"/>
  <c r="BX7" i="18" s="1"/>
  <c r="BY7" i="18" s="1"/>
  <c r="BZ6" i="18"/>
  <c r="CE6" i="18" l="1"/>
  <c r="BZ7" i="18"/>
  <c r="CA7" i="18" s="1"/>
  <c r="CB7" i="18" s="1"/>
  <c r="CC7" i="18" s="1"/>
  <c r="CD7" i="18" s="1"/>
  <c r="CE7" i="18" l="1"/>
  <c r="CF7" i="18" s="1"/>
  <c r="CG7" i="18" s="1"/>
  <c r="CH7" i="18" s="1"/>
  <c r="CI7" i="18" s="1"/>
  <c r="CJ6" i="18"/>
  <c r="CJ7" i="18" s="1"/>
  <c r="CK7" i="18" s="1"/>
  <c r="CL7" i="18" s="1"/>
  <c r="CM7" i="18" s="1"/>
  <c r="CN7" i="18" s="1"/>
</calcChain>
</file>

<file path=xl/sharedStrings.xml><?xml version="1.0" encoding="utf-8"?>
<sst xmlns="http://schemas.openxmlformats.org/spreadsheetml/2006/main" count="265" uniqueCount="62">
  <si>
    <t>AGS2026夏　進捗管理表</t>
    <rPh sb="7" eb="8">
      <t>ナツ</t>
    </rPh>
    <phoneticPr fontId="19"/>
  </si>
  <si>
    <t xml:space="preserve"> 制作開始日:</t>
    <phoneticPr fontId="19"/>
  </si>
  <si>
    <t>企画書〆</t>
  </si>
  <si>
    <t>α版①〆</t>
  </si>
  <si>
    <t>α版➁〆</t>
    <rPh sb="1" eb="2">
      <t>バン</t>
    </rPh>
    <phoneticPr fontId="19"/>
  </si>
  <si>
    <t>β版〆</t>
    <rPh sb="1" eb="2">
      <t>バン</t>
    </rPh>
    <phoneticPr fontId="19"/>
  </si>
  <si>
    <t>FIX版〆</t>
    <rPh sb="3" eb="4">
      <t>バン</t>
    </rPh>
    <phoneticPr fontId="19"/>
  </si>
  <si>
    <t>予定</t>
    <rPh sb="0" eb="2">
      <t>ヨテイ</t>
    </rPh>
    <phoneticPr fontId="19"/>
  </si>
  <si>
    <t>実績</t>
    <rPh sb="0" eb="2">
      <t>ジッセキ</t>
    </rPh>
    <phoneticPr fontId="19"/>
  </si>
  <si>
    <t>タスク名</t>
    <rPh sb="3" eb="4">
      <t>メイ</t>
    </rPh>
    <phoneticPr fontId="19"/>
  </si>
  <si>
    <t>担当者</t>
  </si>
  <si>
    <t>進捗(%)</t>
    <phoneticPr fontId="19"/>
  </si>
  <si>
    <t>開始日</t>
    <rPh sb="2" eb="3">
      <t>ビ</t>
    </rPh>
    <phoneticPr fontId="19"/>
  </si>
  <si>
    <t>終了日</t>
    <rPh sb="2" eb="3">
      <t>テイジツ</t>
    </rPh>
    <phoneticPr fontId="19"/>
  </si>
  <si>
    <t>月</t>
    <rPh sb="0" eb="1">
      <t>ゲツ</t>
    </rPh>
    <phoneticPr fontId="19"/>
  </si>
  <si>
    <t>火</t>
    <rPh sb="0" eb="1">
      <t>カ</t>
    </rPh>
    <phoneticPr fontId="19"/>
  </si>
  <si>
    <t>水</t>
    <rPh sb="0" eb="1">
      <t>スイ</t>
    </rPh>
    <phoneticPr fontId="19"/>
  </si>
  <si>
    <t>木</t>
    <rPh sb="0" eb="1">
      <t>モク</t>
    </rPh>
    <phoneticPr fontId="19"/>
  </si>
  <si>
    <t>金</t>
    <rPh sb="0" eb="1">
      <t>キン</t>
    </rPh>
    <phoneticPr fontId="19"/>
  </si>
  <si>
    <t>タスク名１</t>
    <rPh sb="3" eb="4">
      <t>メイ</t>
    </rPh>
    <phoneticPr fontId="19"/>
  </si>
  <si>
    <t>タスク名２</t>
    <rPh sb="3" eb="4">
      <t>メイ</t>
    </rPh>
    <phoneticPr fontId="19"/>
  </si>
  <si>
    <t>タスク名３</t>
    <rPh sb="3" eb="4">
      <t>メイ</t>
    </rPh>
    <phoneticPr fontId="19"/>
  </si>
  <si>
    <t>タスク名４</t>
    <rPh sb="3" eb="4">
      <t>メイ</t>
    </rPh>
    <phoneticPr fontId="19"/>
  </si>
  <si>
    <t>タスク名５(6以上は行を挿入)</t>
    <rPh sb="3" eb="4">
      <t>メイ</t>
    </rPh>
    <phoneticPr fontId="19"/>
  </si>
  <si>
    <t>作業名称２</t>
    <rPh sb="0" eb="2">
      <t>サギョウ</t>
    </rPh>
    <rPh sb="2" eb="4">
      <t>メイショウ</t>
    </rPh>
    <phoneticPr fontId="19"/>
  </si>
  <si>
    <t>作業名称３</t>
    <rPh sb="0" eb="2">
      <t>サギョウ</t>
    </rPh>
    <rPh sb="2" eb="4">
      <t>メイショウ</t>
    </rPh>
    <phoneticPr fontId="19"/>
  </si>
  <si>
    <t>作業名称４</t>
    <rPh sb="0" eb="2">
      <t>サギョウ</t>
    </rPh>
    <rPh sb="2" eb="4">
      <t>メイショウ</t>
    </rPh>
    <phoneticPr fontId="19"/>
  </si>
  <si>
    <t>※ 各作業で行が不足する場合は、既存の行をコピーして挿入してください。</t>
    <rPh sb="2" eb="3">
      <t>カク</t>
    </rPh>
    <rPh sb="3" eb="5">
      <t>サギョウ</t>
    </rPh>
    <rPh sb="6" eb="7">
      <t>ギョウ</t>
    </rPh>
    <rPh sb="8" eb="10">
      <t>フソク</t>
    </rPh>
    <rPh sb="12" eb="14">
      <t>バアイ</t>
    </rPh>
    <rPh sb="16" eb="18">
      <t>キゾン</t>
    </rPh>
    <rPh sb="19" eb="20">
      <t>ギョウ</t>
    </rPh>
    <phoneticPr fontId="19"/>
  </si>
  <si>
    <t>企画制作　進捗管理表</t>
    <phoneticPr fontId="19"/>
  </si>
  <si>
    <t>チーム名：我々には後が無い。。。</t>
    <rPh sb="3" eb="4">
      <t>メイ</t>
    </rPh>
    <rPh sb="5" eb="7">
      <t>ワレワレ</t>
    </rPh>
    <rPh sb="9" eb="10">
      <t>アト</t>
    </rPh>
    <rPh sb="11" eb="12">
      <t>ナ</t>
    </rPh>
    <phoneticPr fontId="19"/>
  </si>
  <si>
    <t>リーダー：葉薬　史郎</t>
    <rPh sb="5" eb="6">
      <t>ハ</t>
    </rPh>
    <rPh sb="6" eb="7">
      <t>ヤク</t>
    </rPh>
    <rPh sb="8" eb="10">
      <t>シロウ</t>
    </rPh>
    <phoneticPr fontId="19"/>
  </si>
  <si>
    <t>メンバー：今　矢留男、五月　尾和太</t>
    <rPh sb="5" eb="6">
      <t>イマ</t>
    </rPh>
    <rPh sb="7" eb="8">
      <t>ヤ</t>
    </rPh>
    <rPh sb="8" eb="9">
      <t>ル</t>
    </rPh>
    <rPh sb="9" eb="10">
      <t>オ</t>
    </rPh>
    <rPh sb="11" eb="13">
      <t>サツキ</t>
    </rPh>
    <rPh sb="14" eb="15">
      <t>オ</t>
    </rPh>
    <rPh sb="15" eb="16">
      <t>ワ</t>
    </rPh>
    <rPh sb="16" eb="17">
      <t>フト</t>
    </rPh>
    <phoneticPr fontId="19"/>
  </si>
  <si>
    <t>プレイヤーキャラクター</t>
  </si>
  <si>
    <t>全員</t>
    <rPh sb="0" eb="2">
      <t>ゼンイン</t>
    </rPh>
    <phoneticPr fontId="19"/>
  </si>
  <si>
    <t>移動</t>
  </si>
  <si>
    <t>全員</t>
  </si>
  <si>
    <t>アクション_ジャンプ</t>
  </si>
  <si>
    <t>今、五月</t>
    <rPh sb="0" eb="1">
      <t>イマ</t>
    </rPh>
    <rPh sb="2" eb="4">
      <t>サツキ</t>
    </rPh>
    <phoneticPr fontId="19"/>
  </si>
  <si>
    <t>アクション_二段ジャンプ</t>
  </si>
  <si>
    <t>葉薬、今</t>
    <rPh sb="0" eb="1">
      <t>ハ</t>
    </rPh>
    <rPh sb="1" eb="2">
      <t>クスリ</t>
    </rPh>
    <rPh sb="3" eb="4">
      <t>イマ</t>
    </rPh>
    <phoneticPr fontId="19"/>
  </si>
  <si>
    <t>ダメージ</t>
  </si>
  <si>
    <t>グラフィック</t>
  </si>
  <si>
    <t>jsonファイル書き込み機能</t>
    <rPh sb="8" eb="9">
      <t>カ</t>
    </rPh>
    <rPh sb="10" eb="11">
      <t>コ</t>
    </rPh>
    <rPh sb="12" eb="14">
      <t>キノウ</t>
    </rPh>
    <phoneticPr fontId="19"/>
  </si>
  <si>
    <t>善原　敬子</t>
  </si>
  <si>
    <t>善原　敬子</t>
    <rPh sb="0" eb="1">
      <t>ゼン</t>
    </rPh>
    <rPh sb="1" eb="2">
      <t>ハラ</t>
    </rPh>
    <rPh sb="3" eb="5">
      <t>ケイコ</t>
    </rPh>
    <phoneticPr fontId="19"/>
  </si>
  <si>
    <t>リーダー：善原　敬子</t>
    <phoneticPr fontId="19"/>
  </si>
  <si>
    <t>メンバー：善原　敬子</t>
    <phoneticPr fontId="19"/>
  </si>
  <si>
    <t>チーム名：お茶</t>
    <rPh sb="6" eb="7">
      <t>チャ</t>
    </rPh>
    <phoneticPr fontId="19"/>
  </si>
  <si>
    <t>善原　敬子</t>
    <phoneticPr fontId="19"/>
  </si>
  <si>
    <t>企画＆ガントチャート作成</t>
    <rPh sb="0" eb="2">
      <t>キカク</t>
    </rPh>
    <rPh sb="10" eb="12">
      <t>サクセイ</t>
    </rPh>
    <phoneticPr fontId="19"/>
  </si>
  <si>
    <t>戦闘システム追加</t>
    <rPh sb="0" eb="2">
      <t>セントウ</t>
    </rPh>
    <rPh sb="6" eb="8">
      <t>ツイカ</t>
    </rPh>
    <phoneticPr fontId="19"/>
  </si>
  <si>
    <t>カメラ機能改善</t>
    <rPh sb="3" eb="5">
      <t>キノウ</t>
    </rPh>
    <rPh sb="5" eb="7">
      <t>カイゼン</t>
    </rPh>
    <phoneticPr fontId="19"/>
  </si>
  <si>
    <t>敵の攻撃パターン修正</t>
    <rPh sb="0" eb="1">
      <t>テキ</t>
    </rPh>
    <rPh sb="2" eb="4">
      <t>コウゲキ</t>
    </rPh>
    <rPh sb="8" eb="10">
      <t>シュウセイ</t>
    </rPh>
    <phoneticPr fontId="19"/>
  </si>
  <si>
    <t>ImGuiを日本語対応</t>
    <rPh sb="6" eb="9">
      <t>ニホンゴ</t>
    </rPh>
    <rPh sb="9" eb="11">
      <t>タイオウ</t>
    </rPh>
    <phoneticPr fontId="19"/>
  </si>
  <si>
    <t>ImGuiで保存ボタンとポップアップ作成</t>
    <rPh sb="6" eb="8">
      <t>ホゾン</t>
    </rPh>
    <rPh sb="18" eb="20">
      <t>サクセイ</t>
    </rPh>
    <phoneticPr fontId="19"/>
  </si>
  <si>
    <t>JsonManagerにデータ書き込み機能追加</t>
    <rPh sb="15" eb="16">
      <t>カ</t>
    </rPh>
    <rPh sb="17" eb="18">
      <t>コ</t>
    </rPh>
    <rPh sb="19" eb="21">
      <t>キノウ</t>
    </rPh>
    <rPh sb="21" eb="23">
      <t>ツイカ</t>
    </rPh>
    <phoneticPr fontId="19"/>
  </si>
  <si>
    <t>オブジェクトに書き込み機能をつけてみる</t>
    <rPh sb="7" eb="8">
      <t>カ</t>
    </rPh>
    <rPh sb="9" eb="10">
      <t>コ</t>
    </rPh>
    <rPh sb="11" eb="13">
      <t>キノウ</t>
    </rPh>
    <phoneticPr fontId="19"/>
  </si>
  <si>
    <t>バックスタブ時、カメラを背後に設置</t>
    <rPh sb="6" eb="7">
      <t>ジ</t>
    </rPh>
    <rPh sb="12" eb="14">
      <t>ハイゴ</t>
    </rPh>
    <rPh sb="15" eb="17">
      <t>セッチ</t>
    </rPh>
    <phoneticPr fontId="19"/>
  </si>
  <si>
    <t>カメラ回転機能でプレイヤーが見えるように</t>
    <rPh sb="3" eb="5">
      <t>カイテン</t>
    </rPh>
    <rPh sb="5" eb="7">
      <t>キノウ</t>
    </rPh>
    <rPh sb="14" eb="15">
      <t>ミ</t>
    </rPh>
    <phoneticPr fontId="19"/>
  </si>
  <si>
    <t>当たり判定修正</t>
    <rPh sb="0" eb="1">
      <t>ア</t>
    </rPh>
    <rPh sb="3" eb="5">
      <t>ハンテイ</t>
    </rPh>
    <rPh sb="5" eb="7">
      <t>シュウセイ</t>
    </rPh>
    <phoneticPr fontId="19"/>
  </si>
  <si>
    <t>敵の攻撃パターン追加</t>
    <phoneticPr fontId="19"/>
  </si>
  <si>
    <t>パリィ成功時拍手SE追加</t>
    <rPh sb="3" eb="5">
      <t>セイコウ</t>
    </rPh>
    <rPh sb="5" eb="6">
      <t>ジ</t>
    </rPh>
    <rPh sb="6" eb="8">
      <t>ハクシュ</t>
    </rPh>
    <rPh sb="10" eb="12">
      <t>ツイカ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</si>
</sst>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d"/>
    <numFmt numFmtId="181" formatCode="m&quot;月&quot;d&quot;日&quot;;@"/>
    <numFmt numFmtId="182" formatCode="yyyy/m/d\ \,\ aaa"/>
    <numFmt numFmtId="183" formatCode="yyyy&quot;年&quot;m&quot;月&quot;d&quot;日&quot;\ \ \ &quot;(&quot;aaa&quot;)&quot;"/>
  </numFmts>
  <fonts count="31" x14ac:knownFonts="1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rgb="FFFF0000"/>
      <name val="メイリオ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9"/>
      <color rgb="FFFF0000"/>
      <name val="メイリオ"/>
      <family val="3"/>
      <charset val="128"/>
    </font>
  </fonts>
  <fills count="4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2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2">
      <alignment horizontal="center" vertical="center"/>
    </xf>
    <xf numFmtId="178" fontId="1" fillId="0" borderId="1" applyFill="0">
      <alignment horizontal="center" vertical="center"/>
    </xf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3" fillId="8" borderId="0" applyNumberFormat="0" applyBorder="0" applyAlignment="0" applyProtection="0"/>
    <xf numFmtId="0" fontId="14" fillId="9" borderId="0" applyNumberFormat="0" applyBorder="0" applyAlignment="0" applyProtection="0"/>
    <xf numFmtId="0" fontId="12" fillId="10" borderId="3" applyNumberFormat="0" applyAlignment="0" applyProtection="0"/>
    <xf numFmtId="0" fontId="15" fillId="11" borderId="4" applyNumberFormat="0" applyAlignment="0" applyProtection="0"/>
    <xf numFmtId="0" fontId="4" fillId="11" borderId="3" applyNumberFormat="0" applyAlignment="0" applyProtection="0"/>
    <xf numFmtId="0" fontId="13" fillId="0" borderId="5" applyNumberFormat="0" applyFill="0" applyAlignment="0" applyProtection="0"/>
    <xf numFmtId="0" fontId="5" fillId="12" borderId="6" applyNumberFormat="0" applyAlignment="0" applyProtection="0"/>
    <xf numFmtId="0" fontId="18" fillId="0" borderId="0" applyNumberFormat="0" applyFill="0" applyBorder="0" applyAlignment="0" applyProtection="0"/>
    <xf numFmtId="0" fontId="1" fillId="13" borderId="7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02">
    <xf numFmtId="0" fontId="0" fillId="0" borderId="0" xfId="0"/>
    <xf numFmtId="0" fontId="22" fillId="39" borderId="9" xfId="0" applyFont="1" applyFill="1" applyBorder="1"/>
    <xf numFmtId="0" fontId="20" fillId="39" borderId="9" xfId="0" applyFont="1" applyFill="1" applyBorder="1"/>
    <xf numFmtId="0" fontId="20" fillId="38" borderId="9" xfId="0" applyFont="1" applyFill="1" applyBorder="1" applyAlignment="1">
      <alignment horizontal="left" indent="1"/>
    </xf>
    <xf numFmtId="0" fontId="20" fillId="38" borderId="9" xfId="0" applyFont="1" applyFill="1" applyBorder="1"/>
    <xf numFmtId="0" fontId="20" fillId="39" borderId="11" xfId="0" applyFont="1" applyFill="1" applyBorder="1"/>
    <xf numFmtId="0" fontId="20" fillId="38" borderId="10" xfId="0" applyFont="1" applyFill="1" applyBorder="1"/>
    <xf numFmtId="0" fontId="20" fillId="38" borderId="11" xfId="0" applyFont="1" applyFill="1" applyBorder="1"/>
    <xf numFmtId="181" fontId="20" fillId="39" borderId="9" xfId="0" applyNumberFormat="1" applyFont="1" applyFill="1" applyBorder="1"/>
    <xf numFmtId="181" fontId="20" fillId="38" borderId="9" xfId="0" applyNumberFormat="1" applyFont="1" applyFill="1" applyBorder="1"/>
    <xf numFmtId="0" fontId="20" fillId="42" borderId="11" xfId="0" applyFont="1" applyFill="1" applyBorder="1"/>
    <xf numFmtId="0" fontId="20" fillId="43" borderId="11" xfId="0" applyFont="1" applyFill="1" applyBorder="1"/>
    <xf numFmtId="0" fontId="20" fillId="39" borderId="9" xfId="0" applyFont="1" applyFill="1" applyBorder="1" applyAlignment="1">
      <alignment horizontal="center"/>
    </xf>
    <xf numFmtId="0" fontId="20" fillId="38" borderId="9" xfId="0" applyFont="1" applyFill="1" applyBorder="1" applyAlignment="1">
      <alignment horizontal="center"/>
    </xf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39" borderId="11" xfId="0" applyFont="1" applyFill="1" applyBorder="1" applyProtection="1">
      <protection locked="0"/>
    </xf>
    <xf numFmtId="0" fontId="20" fillId="39" borderId="12" xfId="0" applyFont="1" applyFill="1" applyBorder="1" applyProtection="1">
      <protection locked="0"/>
    </xf>
    <xf numFmtId="0" fontId="20" fillId="38" borderId="11" xfId="0" applyFont="1" applyFill="1" applyBorder="1" applyProtection="1">
      <protection locked="0"/>
    </xf>
    <xf numFmtId="0" fontId="20" fillId="38" borderId="12" xfId="0" applyFont="1" applyFill="1" applyBorder="1" applyProtection="1">
      <protection locked="0"/>
    </xf>
    <xf numFmtId="0" fontId="22" fillId="4" borderId="9" xfId="0" applyFont="1" applyFill="1" applyBorder="1" applyAlignment="1" applyProtection="1">
      <alignment shrinkToFit="1"/>
      <protection locked="0"/>
    </xf>
    <xf numFmtId="0" fontId="20" fillId="4" borderId="9" xfId="0" applyFont="1" applyFill="1" applyBorder="1" applyProtection="1">
      <protection locked="0"/>
    </xf>
    <xf numFmtId="0" fontId="20" fillId="4" borderId="9" xfId="0" applyFont="1" applyFill="1" applyBorder="1" applyAlignment="1" applyProtection="1">
      <alignment horizontal="center"/>
      <protection locked="0"/>
    </xf>
    <xf numFmtId="181" fontId="20" fillId="4" borderId="9" xfId="0" applyNumberFormat="1" applyFont="1" applyFill="1" applyBorder="1" applyProtection="1">
      <protection locked="0"/>
    </xf>
    <xf numFmtId="0" fontId="20" fillId="4" borderId="10" xfId="0" applyFont="1" applyFill="1" applyBorder="1" applyProtection="1">
      <protection locked="0"/>
    </xf>
    <xf numFmtId="0" fontId="20" fillId="4" borderId="11" xfId="0" applyFont="1" applyFill="1" applyBorder="1" applyProtection="1">
      <protection locked="0"/>
    </xf>
    <xf numFmtId="0" fontId="20" fillId="4" borderId="12" xfId="0" applyFont="1" applyFill="1" applyBorder="1" applyProtection="1">
      <protection locked="0"/>
    </xf>
    <xf numFmtId="0" fontId="20" fillId="2" borderId="9" xfId="0" applyFont="1" applyFill="1" applyBorder="1" applyProtection="1">
      <protection locked="0"/>
    </xf>
    <xf numFmtId="0" fontId="20" fillId="2" borderId="9" xfId="0" applyFont="1" applyFill="1" applyBorder="1" applyAlignment="1" applyProtection="1">
      <alignment horizontal="center"/>
      <protection locked="0"/>
    </xf>
    <xf numFmtId="181" fontId="20" fillId="2" borderId="9" xfId="0" applyNumberFormat="1" applyFont="1" applyFill="1" applyBorder="1" applyProtection="1">
      <protection locked="0"/>
    </xf>
    <xf numFmtId="0" fontId="20" fillId="2" borderId="10" xfId="0" applyFont="1" applyFill="1" applyBorder="1" applyProtection="1">
      <protection locked="0"/>
    </xf>
    <xf numFmtId="0" fontId="20" fillId="2" borderId="11" xfId="0" applyFont="1" applyFill="1" applyBorder="1" applyProtection="1">
      <protection locked="0"/>
    </xf>
    <xf numFmtId="0" fontId="20" fillId="2" borderId="12" xfId="0" applyFont="1" applyFill="1" applyBorder="1" applyProtection="1">
      <protection locked="0"/>
    </xf>
    <xf numFmtId="0" fontId="22" fillId="3" borderId="9" xfId="0" applyFont="1" applyFill="1" applyBorder="1" applyAlignment="1" applyProtection="1">
      <alignment shrinkToFit="1"/>
      <protection locked="0"/>
    </xf>
    <xf numFmtId="0" fontId="20" fillId="3" borderId="9" xfId="0" applyFont="1" applyFill="1" applyBorder="1" applyProtection="1">
      <protection locked="0"/>
    </xf>
    <xf numFmtId="0" fontId="20" fillId="3" borderId="9" xfId="0" applyFont="1" applyFill="1" applyBorder="1" applyAlignment="1" applyProtection="1">
      <alignment horizontal="center"/>
      <protection locked="0"/>
    </xf>
    <xf numFmtId="181" fontId="20" fillId="3" borderId="9" xfId="0" applyNumberFormat="1" applyFont="1" applyFill="1" applyBorder="1" applyProtection="1">
      <protection locked="0"/>
    </xf>
    <xf numFmtId="0" fontId="20" fillId="3" borderId="10" xfId="0" applyFont="1" applyFill="1" applyBorder="1" applyProtection="1">
      <protection locked="0"/>
    </xf>
    <xf numFmtId="0" fontId="20" fillId="3" borderId="11" xfId="0" applyFont="1" applyFill="1" applyBorder="1" applyProtection="1">
      <protection locked="0"/>
    </xf>
    <xf numFmtId="0" fontId="20" fillId="3" borderId="12" xfId="0" applyFont="1" applyFill="1" applyBorder="1" applyProtection="1">
      <protection locked="0"/>
    </xf>
    <xf numFmtId="0" fontId="20" fillId="6" borderId="9" xfId="0" applyFont="1" applyFill="1" applyBorder="1" applyProtection="1">
      <protection locked="0"/>
    </xf>
    <xf numFmtId="0" fontId="20" fillId="6" borderId="9" xfId="0" applyFont="1" applyFill="1" applyBorder="1" applyAlignment="1" applyProtection="1">
      <alignment horizontal="center"/>
      <protection locked="0"/>
    </xf>
    <xf numFmtId="181" fontId="20" fillId="6" borderId="9" xfId="0" applyNumberFormat="1" applyFont="1" applyFill="1" applyBorder="1" applyProtection="1">
      <protection locked="0"/>
    </xf>
    <xf numFmtId="0" fontId="20" fillId="6" borderId="10" xfId="0" applyFont="1" applyFill="1" applyBorder="1" applyProtection="1">
      <protection locked="0"/>
    </xf>
    <xf numFmtId="0" fontId="20" fillId="6" borderId="11" xfId="0" applyFont="1" applyFill="1" applyBorder="1" applyProtection="1">
      <protection locked="0"/>
    </xf>
    <xf numFmtId="0" fontId="20" fillId="6" borderId="12" xfId="0" applyFont="1" applyFill="1" applyBorder="1" applyProtection="1">
      <protection locked="0"/>
    </xf>
    <xf numFmtId="0" fontId="22" fillId="40" borderId="9" xfId="0" applyFont="1" applyFill="1" applyBorder="1" applyAlignment="1" applyProtection="1">
      <alignment shrinkToFit="1"/>
      <protection locked="0"/>
    </xf>
    <xf numFmtId="0" fontId="20" fillId="40" borderId="9" xfId="0" applyFont="1" applyFill="1" applyBorder="1" applyProtection="1">
      <protection locked="0"/>
    </xf>
    <xf numFmtId="0" fontId="20" fillId="40" borderId="9" xfId="0" applyFont="1" applyFill="1" applyBorder="1" applyAlignment="1" applyProtection="1">
      <alignment horizontal="center"/>
      <protection locked="0"/>
    </xf>
    <xf numFmtId="181" fontId="20" fillId="40" borderId="9" xfId="0" applyNumberFormat="1" applyFont="1" applyFill="1" applyBorder="1" applyProtection="1">
      <protection locked="0"/>
    </xf>
    <xf numFmtId="0" fontId="20" fillId="40" borderId="10" xfId="0" applyFont="1" applyFill="1" applyBorder="1" applyProtection="1">
      <protection locked="0"/>
    </xf>
    <xf numFmtId="0" fontId="20" fillId="40" borderId="11" xfId="0" applyFont="1" applyFill="1" applyBorder="1" applyProtection="1">
      <protection locked="0"/>
    </xf>
    <xf numFmtId="0" fontId="20" fillId="40" borderId="12" xfId="0" applyFont="1" applyFill="1" applyBorder="1" applyProtection="1">
      <protection locked="0"/>
    </xf>
    <xf numFmtId="0" fontId="20" fillId="41" borderId="9" xfId="0" applyFont="1" applyFill="1" applyBorder="1" applyProtection="1">
      <protection locked="0"/>
    </xf>
    <xf numFmtId="0" fontId="20" fillId="41" borderId="9" xfId="0" applyFont="1" applyFill="1" applyBorder="1" applyAlignment="1" applyProtection="1">
      <alignment horizontal="center"/>
      <protection locked="0"/>
    </xf>
    <xf numFmtId="181" fontId="20" fillId="41" borderId="9" xfId="0" applyNumberFormat="1" applyFont="1" applyFill="1" applyBorder="1" applyProtection="1">
      <protection locked="0"/>
    </xf>
    <xf numFmtId="0" fontId="20" fillId="41" borderId="10" xfId="0" applyFont="1" applyFill="1" applyBorder="1" applyProtection="1">
      <protection locked="0"/>
    </xf>
    <xf numFmtId="0" fontId="20" fillId="41" borderId="11" xfId="0" applyFont="1" applyFill="1" applyBorder="1" applyProtection="1">
      <protection locked="0"/>
    </xf>
    <xf numFmtId="0" fontId="20" fillId="41" borderId="12" xfId="0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20" fillId="5" borderId="0" xfId="0" applyFont="1" applyFill="1" applyProtection="1">
      <protection locked="0"/>
    </xf>
    <xf numFmtId="0" fontId="20" fillId="5" borderId="0" xfId="0" applyFont="1" applyFill="1" applyAlignment="1" applyProtection="1">
      <alignment horizontal="center"/>
      <protection locked="0"/>
    </xf>
    <xf numFmtId="0" fontId="20" fillId="2" borderId="9" xfId="0" applyFont="1" applyFill="1" applyBorder="1" applyAlignment="1" applyProtection="1">
      <alignment horizontal="left" indent="1" shrinkToFit="1"/>
      <protection locked="0"/>
    </xf>
    <xf numFmtId="0" fontId="20" fillId="6" borderId="9" xfId="0" applyFont="1" applyFill="1" applyBorder="1" applyAlignment="1" applyProtection="1">
      <alignment horizontal="left" indent="1" shrinkToFit="1"/>
      <protection locked="0"/>
    </xf>
    <xf numFmtId="0" fontId="20" fillId="41" borderId="9" xfId="0" applyFont="1" applyFill="1" applyBorder="1" applyAlignment="1" applyProtection="1">
      <alignment horizontal="left" indent="1" shrinkToFit="1"/>
      <protection locked="0"/>
    </xf>
    <xf numFmtId="0" fontId="20" fillId="0" borderId="0" xfId="0" applyFont="1"/>
    <xf numFmtId="0" fontId="20" fillId="0" borderId="0" xfId="0" applyFont="1" applyAlignment="1">
      <alignment horizontal="center"/>
    </xf>
    <xf numFmtId="180" fontId="21" fillId="0" borderId="9" xfId="0" applyNumberFormat="1" applyFont="1" applyBorder="1" applyAlignment="1">
      <alignment horizontal="center"/>
    </xf>
    <xf numFmtId="180" fontId="23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5" fillId="0" borderId="0" xfId="0" applyFont="1" applyAlignment="1" applyProtection="1">
      <alignment vertical="top"/>
      <protection locked="0"/>
    </xf>
    <xf numFmtId="0" fontId="26" fillId="0" borderId="0" xfId="0" applyFont="1" applyAlignment="1">
      <alignment horizontal="right" vertical="center"/>
    </xf>
    <xf numFmtId="180" fontId="21" fillId="43" borderId="10" xfId="0" applyNumberFormat="1" applyFont="1" applyFill="1" applyBorder="1" applyAlignment="1">
      <alignment horizontal="center"/>
    </xf>
    <xf numFmtId="0" fontId="20" fillId="44" borderId="11" xfId="0" applyFont="1" applyFill="1" applyBorder="1"/>
    <xf numFmtId="0" fontId="20" fillId="43" borderId="10" xfId="0" applyFont="1" applyFill="1" applyBorder="1"/>
    <xf numFmtId="180" fontId="28" fillId="0" borderId="9" xfId="0" applyNumberFormat="1" applyFont="1" applyBorder="1" applyAlignment="1">
      <alignment horizontal="center"/>
    </xf>
    <xf numFmtId="0" fontId="20" fillId="43" borderId="11" xfId="0" applyFont="1" applyFill="1" applyBorder="1" applyProtection="1">
      <protection locked="0"/>
    </xf>
    <xf numFmtId="0" fontId="20" fillId="42" borderId="11" xfId="0" applyFont="1" applyFill="1" applyBorder="1" applyProtection="1">
      <protection locked="0"/>
    </xf>
    <xf numFmtId="0" fontId="20" fillId="0" borderId="0" xfId="0" applyFont="1" applyBorder="1" applyProtection="1"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22" fillId="0" borderId="0" xfId="0" applyFont="1" applyFill="1" applyBorder="1" applyAlignment="1" applyProtection="1">
      <alignment shrinkToFit="1"/>
      <protection locked="0"/>
    </xf>
    <xf numFmtId="0" fontId="20" fillId="0" borderId="0" xfId="0" applyFont="1" applyFill="1" applyBorder="1" applyProtection="1">
      <protection locked="0"/>
    </xf>
    <xf numFmtId="0" fontId="20" fillId="0" borderId="0" xfId="0" applyFont="1" applyFill="1" applyBorder="1" applyAlignment="1" applyProtection="1">
      <alignment horizontal="center"/>
      <protection locked="0"/>
    </xf>
    <xf numFmtId="181" fontId="20" fillId="0" borderId="0" xfId="0" applyNumberFormat="1" applyFont="1" applyFill="1" applyBorder="1" applyProtection="1">
      <protection locked="0"/>
    </xf>
    <xf numFmtId="0" fontId="20" fillId="0" borderId="0" xfId="0" applyFont="1" applyFill="1" applyBorder="1" applyAlignment="1" applyProtection="1">
      <alignment horizontal="left" indent="1" shrinkToFit="1"/>
      <protection locked="0"/>
    </xf>
    <xf numFmtId="183" fontId="27" fillId="0" borderId="0" xfId="0" applyNumberFormat="1" applyFont="1" applyAlignment="1" applyProtection="1">
      <alignment horizontal="left" vertical="center"/>
      <protection locked="0"/>
    </xf>
    <xf numFmtId="0" fontId="20" fillId="0" borderId="0" xfId="0" applyFont="1" applyAlignment="1" applyProtection="1">
      <protection locked="0"/>
    </xf>
    <xf numFmtId="183" fontId="24" fillId="0" borderId="0" xfId="9" applyNumberFormat="1" applyFont="1" applyBorder="1" applyAlignment="1">
      <alignment horizontal="left"/>
    </xf>
    <xf numFmtId="0" fontId="20" fillId="0" borderId="16" xfId="0" applyFont="1" applyBorder="1" applyAlignment="1">
      <alignment horizontal="center"/>
    </xf>
    <xf numFmtId="182" fontId="1" fillId="0" borderId="17" xfId="9" applyNumberFormat="1" applyBorder="1" applyAlignment="1">
      <alignment horizontal="center"/>
    </xf>
    <xf numFmtId="182" fontId="1" fillId="0" borderId="18" xfId="9" applyNumberFormat="1" applyBorder="1" applyAlignment="1">
      <alignment horizontal="center"/>
    </xf>
    <xf numFmtId="0" fontId="29" fillId="42" borderId="0" xfId="0" applyFont="1" applyFill="1" applyAlignment="1" applyProtection="1">
      <alignment horizontal="center" textRotation="255"/>
      <protection locked="0"/>
    </xf>
    <xf numFmtId="0" fontId="29" fillId="42" borderId="16" xfId="0" applyFont="1" applyFill="1" applyBorder="1" applyAlignment="1" applyProtection="1">
      <alignment horizontal="center" textRotation="255"/>
      <protection locked="0"/>
    </xf>
    <xf numFmtId="14" fontId="20" fillId="0" borderId="9" xfId="0" applyNumberFormat="1" applyFont="1" applyBorder="1" applyAlignment="1">
      <alignment horizontal="center"/>
    </xf>
    <xf numFmtId="0" fontId="30" fillId="42" borderId="0" xfId="0" applyFont="1" applyFill="1" applyAlignment="1" applyProtection="1">
      <alignment horizontal="center" textRotation="255"/>
      <protection locked="0"/>
    </xf>
    <xf numFmtId="0" fontId="30" fillId="42" borderId="16" xfId="0" applyFont="1" applyFill="1" applyBorder="1" applyAlignment="1" applyProtection="1">
      <alignment horizontal="center" textRotation="255"/>
      <protection locked="0"/>
    </xf>
    <xf numFmtId="0" fontId="20" fillId="0" borderId="15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horizontal="center"/>
    </xf>
    <xf numFmtId="182" fontId="1" fillId="0" borderId="0" xfId="9" applyNumberFormat="1" applyBorder="1" applyAlignment="1">
      <alignment horizontal="center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 xr:uid="{26E66EE6-E33F-4D77-BAE4-0FB4F5BBF673}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 xr:uid="{6391D789-272B-4DD2-9BF3-2CDCF610FA41}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 xr:uid="{8EB8A09A-C31C-40A3-B2C1-9449520178B8}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 xr:uid="{229918B6-DD13-4F5A-97B9-305F7E002AA3}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 xr:uid="{B2D3C1EE-6B41-4801-AAFC-C2274E49E503}"/>
    <cellStyle name="良い" xfId="18" builtinId="26" customBuiltin="1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 xr9:uid="{00000000-0011-0000-FFFF-FFFF00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secondRowStripe" dxfId="14"/>
      <tableStyleElement type="firstColumnStripe" dxfId="13"/>
      <tableStyleElement type="secondColumn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D6C2-4924-46C4-BF7A-0BE92EE1E894}">
  <dimension ref="A1:CI40"/>
  <sheetViews>
    <sheetView tabSelected="1" zoomScale="85" zoomScaleNormal="85" workbookViewId="0">
      <pane xSplit="7" topLeftCell="H1" activePane="topRight" state="frozen"/>
      <selection pane="topRight" activeCell="G12" sqref="G12"/>
    </sheetView>
  </sheetViews>
  <sheetFormatPr defaultColWidth="8.88671875" defaultRowHeight="18.75" x14ac:dyDescent="0.45"/>
  <cols>
    <col min="1" max="1" width="32.5546875" style="14" customWidth="1"/>
    <col min="2" max="2" width="11.6640625" style="14" customWidth="1"/>
    <col min="3" max="3" width="8.21875" style="15" customWidth="1"/>
    <col min="4" max="5" width="8.88671875" style="15" customWidth="1"/>
    <col min="6" max="6" width="8.88671875" style="14"/>
    <col min="7" max="7" width="8.88671875" style="14" customWidth="1"/>
    <col min="8" max="9" width="2.77734375" style="14" customWidth="1"/>
    <col min="10" max="10" width="2.6640625" style="14" customWidth="1"/>
    <col min="11" max="14" width="2.77734375" style="14" customWidth="1"/>
    <col min="15" max="15" width="2.6640625" style="14" customWidth="1"/>
    <col min="16" max="19" width="2.77734375" style="14" customWidth="1"/>
    <col min="20" max="20" width="2.6640625" style="14" customWidth="1"/>
    <col min="21" max="24" width="2.77734375" style="14" customWidth="1"/>
    <col min="25" max="25" width="2.6640625" style="14" customWidth="1"/>
    <col min="26" max="29" width="2.77734375" style="14" customWidth="1"/>
    <col min="30" max="30" width="2.6640625" style="14" customWidth="1"/>
    <col min="31" max="34" width="2.77734375" style="14" customWidth="1"/>
    <col min="35" max="35" width="2.6640625" style="14" customWidth="1"/>
    <col min="36" max="39" width="2.77734375" style="14" customWidth="1"/>
    <col min="40" max="40" width="2.6640625" style="14" customWidth="1"/>
    <col min="41" max="44" width="2.77734375" style="14" customWidth="1"/>
    <col min="45" max="45" width="2.6640625" style="14" customWidth="1"/>
    <col min="46" max="49" width="2.77734375" style="14" customWidth="1"/>
    <col min="50" max="50" width="2.6640625" style="14" customWidth="1"/>
    <col min="51" max="54" width="2.77734375" style="14" customWidth="1"/>
    <col min="55" max="55" width="2.6640625" style="14" customWidth="1"/>
    <col min="56" max="59" width="2.77734375" style="14" customWidth="1"/>
    <col min="60" max="60" width="2.6640625" style="14" customWidth="1"/>
    <col min="61" max="64" width="2.77734375" style="14" customWidth="1"/>
    <col min="65" max="65" width="2.6640625" style="14" customWidth="1"/>
    <col min="66" max="69" width="2.77734375" style="14" customWidth="1"/>
    <col min="70" max="70" width="2.6640625" style="14" customWidth="1"/>
    <col min="71" max="74" width="2.77734375" style="14" customWidth="1"/>
    <col min="75" max="75" width="2.6640625" style="14" customWidth="1"/>
    <col min="76" max="79" width="2.77734375" style="14" customWidth="1"/>
    <col min="80" max="80" width="2.6640625" style="14" customWidth="1"/>
    <col min="81" max="84" width="2.77734375" style="14" customWidth="1"/>
    <col min="85" max="85" width="2.6640625" style="14" customWidth="1"/>
    <col min="86" max="87" width="2.77734375" style="14" customWidth="1"/>
    <col min="88" max="16384" width="8.88671875" style="14"/>
  </cols>
  <sheetData>
    <row r="1" spans="1:87" ht="27.75" customHeight="1" x14ac:dyDescent="0.45">
      <c r="A1" s="71" t="s">
        <v>0</v>
      </c>
      <c r="D1" s="72" t="s">
        <v>1</v>
      </c>
      <c r="E1" s="86">
        <v>46125</v>
      </c>
      <c r="F1" s="86"/>
      <c r="G1" s="86"/>
      <c r="Q1" s="92" t="s">
        <v>2</v>
      </c>
      <c r="AP1" s="92" t="s">
        <v>3</v>
      </c>
      <c r="AZ1" s="92" t="s">
        <v>4</v>
      </c>
      <c r="BT1" s="92" t="s">
        <v>5</v>
      </c>
      <c r="CD1" s="95" t="s">
        <v>6</v>
      </c>
    </row>
    <row r="2" spans="1:87" x14ac:dyDescent="0.45">
      <c r="A2" s="87" t="s">
        <v>47</v>
      </c>
      <c r="B2" s="87"/>
      <c r="C2" s="87"/>
      <c r="D2" s="87"/>
      <c r="E2" s="87"/>
      <c r="F2" s="87"/>
      <c r="G2" s="87"/>
      <c r="Q2" s="92"/>
      <c r="AP2" s="92"/>
      <c r="AZ2" s="92"/>
      <c r="BT2" s="92"/>
      <c r="CD2" s="95"/>
    </row>
    <row r="3" spans="1:87" x14ac:dyDescent="0.45">
      <c r="A3" s="87" t="s">
        <v>45</v>
      </c>
      <c r="B3" s="87"/>
      <c r="C3" s="87"/>
      <c r="D3" s="87"/>
      <c r="E3" s="87"/>
      <c r="F3" s="87"/>
      <c r="G3" s="87"/>
      <c r="Q3" s="92"/>
      <c r="AP3" s="92"/>
      <c r="AZ3" s="92"/>
      <c r="BT3" s="92"/>
      <c r="CD3" s="95"/>
    </row>
    <row r="4" spans="1:87" x14ac:dyDescent="0.45">
      <c r="A4" s="87" t="s">
        <v>46</v>
      </c>
      <c r="B4" s="87"/>
      <c r="C4" s="87"/>
      <c r="D4" s="87"/>
      <c r="E4" s="87"/>
      <c r="F4" s="87"/>
      <c r="G4" s="87"/>
      <c r="Q4" s="93"/>
      <c r="AP4" s="93"/>
      <c r="AZ4" s="93"/>
      <c r="BT4" s="93"/>
      <c r="CD4" s="96"/>
    </row>
    <row r="5" spans="1:87" x14ac:dyDescent="0.45">
      <c r="A5" s="70"/>
      <c r="B5" s="88"/>
      <c r="C5" s="88"/>
      <c r="D5" s="89"/>
      <c r="E5" s="89"/>
      <c r="F5" s="90"/>
      <c r="G5" s="91"/>
      <c r="H5" s="94">
        <f>H6</f>
        <v>46125</v>
      </c>
      <c r="I5" s="94"/>
      <c r="J5" s="94"/>
      <c r="K5" s="94"/>
      <c r="L5" s="94"/>
      <c r="M5" s="94">
        <f>H5+7</f>
        <v>46132</v>
      </c>
      <c r="N5" s="94"/>
      <c r="O5" s="94"/>
      <c r="P5" s="94"/>
      <c r="Q5" s="94"/>
      <c r="R5" s="94">
        <f>M5+7</f>
        <v>46139</v>
      </c>
      <c r="S5" s="94"/>
      <c r="T5" s="94"/>
      <c r="U5" s="94"/>
      <c r="V5" s="94"/>
      <c r="W5" s="94">
        <f>R5+7</f>
        <v>46146</v>
      </c>
      <c r="X5" s="94"/>
      <c r="Y5" s="94"/>
      <c r="Z5" s="94"/>
      <c r="AA5" s="94"/>
      <c r="AB5" s="94">
        <f>W5+7</f>
        <v>46153</v>
      </c>
      <c r="AC5" s="94"/>
      <c r="AD5" s="94"/>
      <c r="AE5" s="94"/>
      <c r="AF5" s="94"/>
      <c r="AG5" s="94">
        <f>AB5+7</f>
        <v>46160</v>
      </c>
      <c r="AH5" s="94"/>
      <c r="AI5" s="94"/>
      <c r="AJ5" s="94"/>
      <c r="AK5" s="94"/>
      <c r="AL5" s="94">
        <f>AG5+7</f>
        <v>46167</v>
      </c>
      <c r="AM5" s="94"/>
      <c r="AN5" s="94"/>
      <c r="AO5" s="94"/>
      <c r="AP5" s="94"/>
      <c r="AQ5" s="94">
        <f>AL5+7</f>
        <v>46174</v>
      </c>
      <c r="AR5" s="94"/>
      <c r="AS5" s="94"/>
      <c r="AT5" s="94"/>
      <c r="AU5" s="94"/>
      <c r="AV5" s="94">
        <f>AQ5+7</f>
        <v>46181</v>
      </c>
      <c r="AW5" s="94"/>
      <c r="AX5" s="94"/>
      <c r="AY5" s="94"/>
      <c r="AZ5" s="94"/>
      <c r="BA5" s="94">
        <f>AV5+7</f>
        <v>46188</v>
      </c>
      <c r="BB5" s="94"/>
      <c r="BC5" s="94"/>
      <c r="BD5" s="94"/>
      <c r="BE5" s="94"/>
      <c r="BF5" s="94">
        <f>BA5+7</f>
        <v>46195</v>
      </c>
      <c r="BG5" s="94"/>
      <c r="BH5" s="94"/>
      <c r="BI5" s="94"/>
      <c r="BJ5" s="94"/>
      <c r="BK5" s="94">
        <f>BF5+7</f>
        <v>46202</v>
      </c>
      <c r="BL5" s="94"/>
      <c r="BM5" s="94"/>
      <c r="BN5" s="94"/>
      <c r="BO5" s="94"/>
      <c r="BP5" s="94">
        <f>BK5+7</f>
        <v>46209</v>
      </c>
      <c r="BQ5" s="94"/>
      <c r="BR5" s="94"/>
      <c r="BS5" s="94"/>
      <c r="BT5" s="94"/>
      <c r="BU5" s="94">
        <f>BP5+7</f>
        <v>46216</v>
      </c>
      <c r="BV5" s="94"/>
      <c r="BW5" s="94"/>
      <c r="BX5" s="94"/>
      <c r="BY5" s="94"/>
      <c r="BZ5" s="94">
        <f>BU5+7</f>
        <v>46223</v>
      </c>
      <c r="CA5" s="94"/>
      <c r="CB5" s="94"/>
      <c r="CC5" s="94"/>
      <c r="CD5" s="94"/>
      <c r="CE5" s="94">
        <f>BZ5+7</f>
        <v>46230</v>
      </c>
      <c r="CF5" s="94"/>
      <c r="CG5" s="94"/>
      <c r="CH5" s="94"/>
      <c r="CI5" s="94"/>
    </row>
    <row r="6" spans="1:87" x14ac:dyDescent="0.45">
      <c r="A6" s="65"/>
      <c r="B6" s="65"/>
      <c r="C6" s="66"/>
      <c r="D6" s="97" t="s">
        <v>7</v>
      </c>
      <c r="E6" s="98"/>
      <c r="F6" s="99" t="s">
        <v>8</v>
      </c>
      <c r="G6" s="98"/>
      <c r="H6" s="67">
        <f>E1-WEEKDAY(E1,1)+2</f>
        <v>46125</v>
      </c>
      <c r="I6" s="67">
        <f>H6+1</f>
        <v>46126</v>
      </c>
      <c r="J6" s="67">
        <f t="shared" ref="J6:L6" si="0">I6+1</f>
        <v>46127</v>
      </c>
      <c r="K6" s="67">
        <f t="shared" si="0"/>
        <v>46128</v>
      </c>
      <c r="L6" s="67">
        <f t="shared" si="0"/>
        <v>46129</v>
      </c>
      <c r="M6" s="67">
        <f>M5</f>
        <v>46132</v>
      </c>
      <c r="N6" s="67">
        <f>M6+1</f>
        <v>46133</v>
      </c>
      <c r="O6" s="67">
        <f t="shared" ref="O6:Q6" si="1">N6+1</f>
        <v>46134</v>
      </c>
      <c r="P6" s="67">
        <f t="shared" si="1"/>
        <v>46135</v>
      </c>
      <c r="Q6" s="67">
        <f t="shared" si="1"/>
        <v>46136</v>
      </c>
      <c r="R6" s="67">
        <f>R5</f>
        <v>46139</v>
      </c>
      <c r="S6" s="67">
        <f>R6+1</f>
        <v>46140</v>
      </c>
      <c r="T6" s="67">
        <f t="shared" ref="T6:V6" si="2">S6+1</f>
        <v>46141</v>
      </c>
      <c r="U6" s="67">
        <f t="shared" si="2"/>
        <v>46142</v>
      </c>
      <c r="V6" s="67">
        <f t="shared" si="2"/>
        <v>46143</v>
      </c>
      <c r="W6" s="68">
        <f>W5</f>
        <v>46146</v>
      </c>
      <c r="X6" s="68">
        <f>W6+1</f>
        <v>46147</v>
      </c>
      <c r="Y6" s="68">
        <f t="shared" ref="Y6:AA6" si="3">X6+1</f>
        <v>46148</v>
      </c>
      <c r="Z6" s="67">
        <f t="shared" si="3"/>
        <v>46149</v>
      </c>
      <c r="AA6" s="76">
        <f t="shared" si="3"/>
        <v>46150</v>
      </c>
      <c r="AB6" s="76">
        <f>AB5</f>
        <v>46153</v>
      </c>
      <c r="AC6" s="67">
        <f>AB6+1</f>
        <v>46154</v>
      </c>
      <c r="AD6" s="67">
        <f t="shared" ref="AD6:AF6" si="4">AC6+1</f>
        <v>46155</v>
      </c>
      <c r="AE6" s="67">
        <f t="shared" si="4"/>
        <v>46156</v>
      </c>
      <c r="AF6" s="67">
        <f t="shared" si="4"/>
        <v>46157</v>
      </c>
      <c r="AG6" s="67">
        <f>AG5</f>
        <v>46160</v>
      </c>
      <c r="AH6" s="67">
        <f>AG6+1</f>
        <v>46161</v>
      </c>
      <c r="AI6" s="67">
        <f t="shared" ref="AI6:AK6" si="5">AH6+1</f>
        <v>46162</v>
      </c>
      <c r="AJ6" s="67">
        <f t="shared" si="5"/>
        <v>46163</v>
      </c>
      <c r="AK6" s="67">
        <f t="shared" si="5"/>
        <v>46164</v>
      </c>
      <c r="AL6" s="67">
        <f>AL5</f>
        <v>46167</v>
      </c>
      <c r="AM6" s="67">
        <f>AL6+1</f>
        <v>46168</v>
      </c>
      <c r="AN6" s="67">
        <f t="shared" ref="AN6:AP6" si="6">AM6+1</f>
        <v>46169</v>
      </c>
      <c r="AO6" s="67">
        <f t="shared" si="6"/>
        <v>46170</v>
      </c>
      <c r="AP6" s="67">
        <f t="shared" si="6"/>
        <v>46171</v>
      </c>
      <c r="AQ6" s="67">
        <f>AQ5</f>
        <v>46174</v>
      </c>
      <c r="AR6" s="67">
        <f>AQ6+1</f>
        <v>46175</v>
      </c>
      <c r="AS6" s="67">
        <f t="shared" ref="AS6:AU6" si="7">AR6+1</f>
        <v>46176</v>
      </c>
      <c r="AT6" s="67">
        <f t="shared" si="7"/>
        <v>46177</v>
      </c>
      <c r="AU6" s="67">
        <f t="shared" si="7"/>
        <v>46178</v>
      </c>
      <c r="AV6" s="67">
        <f>AV5</f>
        <v>46181</v>
      </c>
      <c r="AW6" s="67">
        <f>AV6+1</f>
        <v>46182</v>
      </c>
      <c r="AX6" s="67">
        <f t="shared" ref="AX6:AZ6" si="8">AW6+1</f>
        <v>46183</v>
      </c>
      <c r="AY6" s="67">
        <f t="shared" si="8"/>
        <v>46184</v>
      </c>
      <c r="AZ6" s="67">
        <f t="shared" si="8"/>
        <v>46185</v>
      </c>
      <c r="BA6" s="67">
        <f>BA5</f>
        <v>46188</v>
      </c>
      <c r="BB6" s="67">
        <f>BA6+1</f>
        <v>46189</v>
      </c>
      <c r="BC6" s="67">
        <f t="shared" ref="BC6:BE6" si="9">BB6+1</f>
        <v>46190</v>
      </c>
      <c r="BD6" s="67">
        <f t="shared" si="9"/>
        <v>46191</v>
      </c>
      <c r="BE6" s="67">
        <f t="shared" si="9"/>
        <v>46192</v>
      </c>
      <c r="BF6" s="67">
        <f>BF5</f>
        <v>46195</v>
      </c>
      <c r="BG6" s="67">
        <f>BF6+1</f>
        <v>46196</v>
      </c>
      <c r="BH6" s="67">
        <f t="shared" ref="BH6:BJ6" si="10">BG6+1</f>
        <v>46197</v>
      </c>
      <c r="BI6" s="67">
        <f t="shared" si="10"/>
        <v>46198</v>
      </c>
      <c r="BJ6" s="67">
        <f t="shared" si="10"/>
        <v>46199</v>
      </c>
      <c r="BK6" s="67">
        <f>BK5</f>
        <v>46202</v>
      </c>
      <c r="BL6" s="67">
        <f>BK6+1</f>
        <v>46203</v>
      </c>
      <c r="BM6" s="67">
        <f t="shared" ref="BM6:BO6" si="11">BL6+1</f>
        <v>46204</v>
      </c>
      <c r="BN6" s="67">
        <f t="shared" si="11"/>
        <v>46205</v>
      </c>
      <c r="BO6" s="67">
        <f t="shared" si="11"/>
        <v>46206</v>
      </c>
      <c r="BP6" s="67">
        <f>BP5</f>
        <v>46209</v>
      </c>
      <c r="BQ6" s="67">
        <f>BP6+1</f>
        <v>46210</v>
      </c>
      <c r="BR6" s="67">
        <f t="shared" ref="BR6:BT6" si="12">BQ6+1</f>
        <v>46211</v>
      </c>
      <c r="BS6" s="67">
        <f t="shared" si="12"/>
        <v>46212</v>
      </c>
      <c r="BT6" s="67">
        <f t="shared" si="12"/>
        <v>46213</v>
      </c>
      <c r="BU6" s="67">
        <f>BU5</f>
        <v>46216</v>
      </c>
      <c r="BV6" s="67">
        <f>BU6+1</f>
        <v>46217</v>
      </c>
      <c r="BW6" s="67">
        <f t="shared" ref="BW6:BY6" si="13">BV6+1</f>
        <v>46218</v>
      </c>
      <c r="BX6" s="67">
        <f t="shared" si="13"/>
        <v>46219</v>
      </c>
      <c r="BY6" s="67">
        <f t="shared" si="13"/>
        <v>46220</v>
      </c>
      <c r="BZ6" s="68">
        <f>BZ5</f>
        <v>46223</v>
      </c>
      <c r="CA6" s="67">
        <f>BZ6+1</f>
        <v>46224</v>
      </c>
      <c r="CB6" s="67">
        <f t="shared" ref="CB6:CD6" si="14">CA6+1</f>
        <v>46225</v>
      </c>
      <c r="CC6" s="67">
        <f t="shared" si="14"/>
        <v>46226</v>
      </c>
      <c r="CD6" s="67">
        <f t="shared" si="14"/>
        <v>46227</v>
      </c>
      <c r="CE6" s="67">
        <f>CE5</f>
        <v>46230</v>
      </c>
      <c r="CF6" s="67">
        <f>CE6+1</f>
        <v>46231</v>
      </c>
      <c r="CG6" s="67">
        <f t="shared" ref="CG6:CI6" si="15">CF6+1</f>
        <v>46232</v>
      </c>
      <c r="CH6" s="67">
        <f t="shared" si="15"/>
        <v>46233</v>
      </c>
      <c r="CI6" s="67">
        <f t="shared" si="15"/>
        <v>46234</v>
      </c>
    </row>
    <row r="7" spans="1:87" ht="19.5" customHeight="1" x14ac:dyDescent="0.45">
      <c r="A7" s="69" t="s">
        <v>9</v>
      </c>
      <c r="B7" s="69" t="s">
        <v>10</v>
      </c>
      <c r="C7" s="69" t="s">
        <v>11</v>
      </c>
      <c r="D7" s="69" t="s">
        <v>12</v>
      </c>
      <c r="E7" s="69" t="s">
        <v>13</v>
      </c>
      <c r="F7" s="69" t="s">
        <v>12</v>
      </c>
      <c r="G7" s="69" t="s">
        <v>13</v>
      </c>
      <c r="H7" s="69" t="s">
        <v>14</v>
      </c>
      <c r="I7" s="69" t="s">
        <v>15</v>
      </c>
      <c r="J7" s="69" t="s">
        <v>16</v>
      </c>
      <c r="K7" s="69" t="s">
        <v>17</v>
      </c>
      <c r="L7" s="69" t="s">
        <v>18</v>
      </c>
      <c r="M7" s="69" t="s">
        <v>14</v>
      </c>
      <c r="N7" s="69" t="s">
        <v>15</v>
      </c>
      <c r="O7" s="69" t="s">
        <v>16</v>
      </c>
      <c r="P7" s="69" t="s">
        <v>17</v>
      </c>
      <c r="Q7" s="69" t="s">
        <v>18</v>
      </c>
      <c r="R7" s="69" t="s">
        <v>14</v>
      </c>
      <c r="S7" s="69" t="s">
        <v>15</v>
      </c>
      <c r="T7" s="69" t="s">
        <v>16</v>
      </c>
      <c r="U7" s="69" t="s">
        <v>17</v>
      </c>
      <c r="V7" s="69" t="s">
        <v>18</v>
      </c>
      <c r="W7" s="69" t="s">
        <v>14</v>
      </c>
      <c r="X7" s="69" t="s">
        <v>15</v>
      </c>
      <c r="Y7" s="69" t="s">
        <v>16</v>
      </c>
      <c r="Z7" s="69" t="s">
        <v>17</v>
      </c>
      <c r="AA7" s="69" t="s">
        <v>18</v>
      </c>
      <c r="AB7" s="69" t="s">
        <v>14</v>
      </c>
      <c r="AC7" s="69" t="s">
        <v>15</v>
      </c>
      <c r="AD7" s="69" t="s">
        <v>16</v>
      </c>
      <c r="AE7" s="69" t="s">
        <v>17</v>
      </c>
      <c r="AF7" s="69" t="s">
        <v>18</v>
      </c>
      <c r="AG7" s="69" t="s">
        <v>14</v>
      </c>
      <c r="AH7" s="69" t="s">
        <v>15</v>
      </c>
      <c r="AI7" s="69" t="s">
        <v>16</v>
      </c>
      <c r="AJ7" s="69" t="s">
        <v>17</v>
      </c>
      <c r="AK7" s="69" t="s">
        <v>18</v>
      </c>
      <c r="AL7" s="69" t="s">
        <v>14</v>
      </c>
      <c r="AM7" s="69" t="s">
        <v>15</v>
      </c>
      <c r="AN7" s="69" t="s">
        <v>16</v>
      </c>
      <c r="AO7" s="69" t="s">
        <v>17</v>
      </c>
      <c r="AP7" s="69" t="s">
        <v>18</v>
      </c>
      <c r="AQ7" s="69" t="s">
        <v>14</v>
      </c>
      <c r="AR7" s="69" t="s">
        <v>15</v>
      </c>
      <c r="AS7" s="69" t="s">
        <v>16</v>
      </c>
      <c r="AT7" s="69" t="s">
        <v>17</v>
      </c>
      <c r="AU7" s="69" t="s">
        <v>18</v>
      </c>
      <c r="AV7" s="69" t="s">
        <v>14</v>
      </c>
      <c r="AW7" s="69" t="s">
        <v>15</v>
      </c>
      <c r="AX7" s="69" t="s">
        <v>16</v>
      </c>
      <c r="AY7" s="69" t="s">
        <v>17</v>
      </c>
      <c r="AZ7" s="69" t="s">
        <v>18</v>
      </c>
      <c r="BA7" s="69" t="s">
        <v>14</v>
      </c>
      <c r="BB7" s="69" t="s">
        <v>15</v>
      </c>
      <c r="BC7" s="69" t="s">
        <v>16</v>
      </c>
      <c r="BD7" s="69" t="s">
        <v>17</v>
      </c>
      <c r="BE7" s="69" t="s">
        <v>18</v>
      </c>
      <c r="BF7" s="69" t="s">
        <v>14</v>
      </c>
      <c r="BG7" s="69" t="s">
        <v>15</v>
      </c>
      <c r="BH7" s="69" t="s">
        <v>16</v>
      </c>
      <c r="BI7" s="69" t="s">
        <v>17</v>
      </c>
      <c r="BJ7" s="69" t="s">
        <v>18</v>
      </c>
      <c r="BK7" s="69" t="s">
        <v>14</v>
      </c>
      <c r="BL7" s="69" t="s">
        <v>15</v>
      </c>
      <c r="BM7" s="69" t="s">
        <v>16</v>
      </c>
      <c r="BN7" s="69" t="s">
        <v>17</v>
      </c>
      <c r="BO7" s="69" t="s">
        <v>18</v>
      </c>
      <c r="BP7" s="69" t="s">
        <v>14</v>
      </c>
      <c r="BQ7" s="69" t="s">
        <v>15</v>
      </c>
      <c r="BR7" s="69" t="s">
        <v>16</v>
      </c>
      <c r="BS7" s="69" t="s">
        <v>17</v>
      </c>
      <c r="BT7" s="69" t="s">
        <v>18</v>
      </c>
      <c r="BU7" s="69" t="s">
        <v>14</v>
      </c>
      <c r="BV7" s="69" t="s">
        <v>15</v>
      </c>
      <c r="BW7" s="69" t="s">
        <v>16</v>
      </c>
      <c r="BX7" s="69" t="s">
        <v>17</v>
      </c>
      <c r="BY7" s="69" t="s">
        <v>18</v>
      </c>
      <c r="BZ7" s="69" t="s">
        <v>14</v>
      </c>
      <c r="CA7" s="69" t="s">
        <v>15</v>
      </c>
      <c r="CB7" s="69" t="s">
        <v>16</v>
      </c>
      <c r="CC7" s="69" t="s">
        <v>17</v>
      </c>
      <c r="CD7" s="69" t="s">
        <v>18</v>
      </c>
      <c r="CE7" s="69" t="s">
        <v>14</v>
      </c>
      <c r="CF7" s="69" t="s">
        <v>15</v>
      </c>
      <c r="CG7" s="69" t="s">
        <v>16</v>
      </c>
      <c r="CH7" s="69" t="s">
        <v>17</v>
      </c>
      <c r="CI7" s="69" t="s">
        <v>18</v>
      </c>
    </row>
    <row r="8" spans="1:87" ht="24" customHeight="1" x14ac:dyDescent="0.45">
      <c r="A8" s="1" t="s">
        <v>49</v>
      </c>
      <c r="B8" s="2" t="s">
        <v>48</v>
      </c>
      <c r="C8" s="12">
        <v>100</v>
      </c>
      <c r="D8" s="8">
        <v>46125</v>
      </c>
      <c r="E8" s="8">
        <v>46132</v>
      </c>
      <c r="F8" s="8">
        <v>46125</v>
      </c>
      <c r="G8" s="8">
        <v>46134</v>
      </c>
      <c r="H8" s="11"/>
      <c r="I8" s="11"/>
      <c r="J8" s="11"/>
      <c r="K8" s="11"/>
      <c r="L8" s="11"/>
      <c r="M8" s="77"/>
      <c r="N8" s="78"/>
      <c r="O8" s="78"/>
      <c r="P8" s="16"/>
      <c r="Q8" s="16"/>
      <c r="R8" s="16"/>
      <c r="S8" s="74"/>
      <c r="T8" s="74"/>
      <c r="U8" s="74"/>
      <c r="V8" s="74"/>
      <c r="W8" s="74"/>
      <c r="X8" s="74"/>
      <c r="Y8" s="5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</row>
    <row r="9" spans="1:87" ht="24" customHeight="1" x14ac:dyDescent="0.45">
      <c r="A9" s="3" t="s">
        <v>49</v>
      </c>
      <c r="B9" s="4" t="s">
        <v>44</v>
      </c>
      <c r="C9" s="13">
        <v>100</v>
      </c>
      <c r="D9" s="9">
        <v>46125</v>
      </c>
      <c r="E9" s="9">
        <v>46132</v>
      </c>
      <c r="F9" s="9">
        <v>46125</v>
      </c>
      <c r="G9" s="9">
        <v>46134</v>
      </c>
      <c r="H9" s="11"/>
      <c r="I9" s="11"/>
      <c r="J9" s="11"/>
      <c r="K9" s="11"/>
      <c r="L9" s="11"/>
      <c r="M9" s="11"/>
      <c r="N9" s="10"/>
      <c r="O9" s="10"/>
      <c r="P9" s="7"/>
      <c r="Q9" s="7"/>
      <c r="R9" s="7"/>
      <c r="S9" s="7"/>
      <c r="T9" s="7"/>
      <c r="U9" s="7"/>
      <c r="V9" s="7"/>
      <c r="W9" s="7"/>
      <c r="X9" s="7"/>
      <c r="Y9" s="7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</row>
    <row r="10" spans="1:87" ht="24" customHeight="1" x14ac:dyDescent="0.45">
      <c r="A10" s="20" t="s">
        <v>42</v>
      </c>
      <c r="B10" s="21" t="s">
        <v>48</v>
      </c>
      <c r="C10" s="22"/>
      <c r="D10" s="23">
        <v>46132</v>
      </c>
      <c r="E10" s="23">
        <v>46136</v>
      </c>
      <c r="F10" s="23">
        <v>46134</v>
      </c>
      <c r="G10" s="23"/>
      <c r="H10" s="24"/>
      <c r="I10" s="25"/>
      <c r="J10" s="25"/>
      <c r="K10" s="25"/>
      <c r="L10" s="25"/>
      <c r="M10" s="77"/>
      <c r="N10" s="77"/>
      <c r="O10" s="78"/>
      <c r="P10" s="78"/>
      <c r="Q10" s="78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</row>
    <row r="11" spans="1:87" ht="24" customHeight="1" x14ac:dyDescent="0.45">
      <c r="A11" s="62" t="s">
        <v>53</v>
      </c>
      <c r="B11" s="27" t="s">
        <v>48</v>
      </c>
      <c r="C11" s="28">
        <v>100</v>
      </c>
      <c r="D11" s="29">
        <v>46134</v>
      </c>
      <c r="E11" s="29">
        <v>46138</v>
      </c>
      <c r="F11" s="29">
        <v>46134</v>
      </c>
      <c r="G11" s="29">
        <v>46134</v>
      </c>
      <c r="H11" s="30"/>
      <c r="I11" s="31"/>
      <c r="J11" s="31"/>
      <c r="K11" s="31"/>
      <c r="L11" s="31"/>
      <c r="M11" s="31"/>
      <c r="N11" s="31"/>
      <c r="O11" s="77"/>
      <c r="P11" s="77"/>
      <c r="Q11" s="77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</row>
    <row r="12" spans="1:87" ht="24" customHeight="1" x14ac:dyDescent="0.45">
      <c r="A12" s="62" t="s">
        <v>54</v>
      </c>
      <c r="B12" s="27" t="s">
        <v>43</v>
      </c>
      <c r="C12" s="28">
        <v>100</v>
      </c>
      <c r="D12" s="29">
        <v>46134</v>
      </c>
      <c r="E12" s="29">
        <v>46138</v>
      </c>
      <c r="F12" s="29">
        <v>46134</v>
      </c>
      <c r="G12" s="29"/>
      <c r="H12" s="30"/>
      <c r="I12" s="31"/>
      <c r="J12" s="31"/>
      <c r="K12" s="31"/>
      <c r="L12" s="31"/>
      <c r="M12" s="31"/>
      <c r="N12" s="31"/>
      <c r="O12" s="77"/>
      <c r="P12" s="77"/>
      <c r="Q12" s="77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</row>
    <row r="13" spans="1:87" ht="24" customHeight="1" x14ac:dyDescent="0.45">
      <c r="A13" s="62" t="s">
        <v>55</v>
      </c>
      <c r="B13" s="27" t="s">
        <v>43</v>
      </c>
      <c r="C13" s="28"/>
      <c r="D13" s="29">
        <v>46134</v>
      </c>
      <c r="E13" s="29">
        <v>46138</v>
      </c>
      <c r="F13" s="29"/>
      <c r="G13" s="29"/>
      <c r="H13" s="30"/>
      <c r="I13" s="31"/>
      <c r="J13" s="31"/>
      <c r="K13" s="31"/>
      <c r="L13" s="31"/>
      <c r="M13" s="31"/>
      <c r="N13" s="31"/>
      <c r="O13" s="31"/>
      <c r="P13" s="77"/>
      <c r="Q13" s="77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</row>
    <row r="14" spans="1:87" ht="24" customHeight="1" x14ac:dyDescent="0.45">
      <c r="A14" s="62" t="s">
        <v>56</v>
      </c>
      <c r="B14" s="27" t="s">
        <v>43</v>
      </c>
      <c r="C14" s="28"/>
      <c r="D14" s="29">
        <v>46135</v>
      </c>
      <c r="E14" s="29">
        <v>46138</v>
      </c>
      <c r="F14" s="29"/>
      <c r="G14" s="29"/>
      <c r="H14" s="30"/>
      <c r="I14" s="31"/>
      <c r="J14" s="31"/>
      <c r="K14" s="31"/>
      <c r="L14" s="31"/>
      <c r="M14" s="31"/>
      <c r="N14" s="31"/>
      <c r="O14" s="31"/>
      <c r="P14" s="77"/>
      <c r="Q14" s="77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</row>
    <row r="15" spans="1:87" ht="24" customHeight="1" x14ac:dyDescent="0.45">
      <c r="A15" s="62"/>
      <c r="B15" s="27" t="s">
        <v>43</v>
      </c>
      <c r="C15" s="28"/>
      <c r="D15" s="29"/>
      <c r="E15" s="29"/>
      <c r="F15" s="29"/>
      <c r="G15" s="29"/>
      <c r="H15" s="30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</row>
    <row r="16" spans="1:87" ht="24" customHeight="1" x14ac:dyDescent="0.45">
      <c r="A16" s="33" t="s">
        <v>51</v>
      </c>
      <c r="B16" s="34" t="s">
        <v>48</v>
      </c>
      <c r="C16" s="35"/>
      <c r="D16" s="36">
        <v>46135</v>
      </c>
      <c r="E16" s="36">
        <v>46138</v>
      </c>
      <c r="F16" s="36">
        <v>46135</v>
      </c>
      <c r="G16" s="36"/>
      <c r="H16" s="37"/>
      <c r="I16" s="38"/>
      <c r="J16" s="38"/>
      <c r="K16" s="38"/>
      <c r="L16" s="38"/>
      <c r="M16" s="38"/>
      <c r="N16" s="38"/>
      <c r="O16" s="38"/>
      <c r="P16" s="77"/>
      <c r="Q16" s="77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</row>
    <row r="17" spans="1:87" ht="24" customHeight="1" x14ac:dyDescent="0.45">
      <c r="A17" s="63" t="s">
        <v>57</v>
      </c>
      <c r="B17" s="40" t="s">
        <v>48</v>
      </c>
      <c r="C17" s="41"/>
      <c r="D17" s="42">
        <v>46135</v>
      </c>
      <c r="E17" s="42">
        <v>46138</v>
      </c>
      <c r="F17" s="42">
        <v>46135</v>
      </c>
      <c r="G17" s="42">
        <v>46135</v>
      </c>
      <c r="H17" s="43"/>
      <c r="I17" s="44"/>
      <c r="J17" s="44"/>
      <c r="K17" s="44"/>
      <c r="L17" s="44"/>
      <c r="M17" s="44"/>
      <c r="N17" s="44"/>
      <c r="O17" s="44"/>
      <c r="P17" s="77"/>
      <c r="Q17" s="77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</row>
    <row r="18" spans="1:87" ht="24" customHeight="1" x14ac:dyDescent="0.45">
      <c r="A18" s="63" t="s">
        <v>58</v>
      </c>
      <c r="B18" s="40" t="s">
        <v>48</v>
      </c>
      <c r="C18" s="41"/>
      <c r="D18" s="42">
        <v>46135</v>
      </c>
      <c r="E18" s="42">
        <v>46138</v>
      </c>
      <c r="F18" s="42">
        <v>46135</v>
      </c>
      <c r="G18" s="42">
        <v>46135</v>
      </c>
      <c r="H18" s="43"/>
      <c r="I18" s="44"/>
      <c r="J18" s="44"/>
      <c r="K18" s="44"/>
      <c r="L18" s="44"/>
      <c r="M18" s="44"/>
      <c r="N18" s="44"/>
      <c r="O18" s="44"/>
      <c r="P18" s="77"/>
      <c r="Q18" s="77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</row>
    <row r="19" spans="1:87" ht="24" customHeight="1" x14ac:dyDescent="0.45">
      <c r="A19" s="63" t="s">
        <v>59</v>
      </c>
      <c r="B19" s="40" t="s">
        <v>48</v>
      </c>
      <c r="C19" s="41"/>
      <c r="D19" s="42">
        <v>46135</v>
      </c>
      <c r="E19" s="42">
        <v>46138</v>
      </c>
      <c r="F19" s="42"/>
      <c r="G19" s="42"/>
      <c r="H19" s="43"/>
      <c r="I19" s="44"/>
      <c r="J19" s="44"/>
      <c r="K19" s="44"/>
      <c r="L19" s="44"/>
      <c r="M19" s="44"/>
      <c r="N19" s="44"/>
      <c r="O19" s="44"/>
      <c r="P19" s="77"/>
      <c r="Q19" s="77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</row>
    <row r="20" spans="1:87" ht="24" customHeight="1" x14ac:dyDescent="0.45">
      <c r="A20" s="63"/>
      <c r="B20" s="40" t="s">
        <v>48</v>
      </c>
      <c r="C20" s="41"/>
      <c r="D20" s="42"/>
      <c r="E20" s="42"/>
      <c r="F20" s="42"/>
      <c r="G20" s="42"/>
      <c r="H20" s="43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</row>
    <row r="21" spans="1:87" ht="24" customHeight="1" x14ac:dyDescent="0.45">
      <c r="A21" s="63"/>
      <c r="B21" s="40" t="s">
        <v>48</v>
      </c>
      <c r="C21" s="41"/>
      <c r="D21" s="42"/>
      <c r="E21" s="42"/>
      <c r="F21" s="42"/>
      <c r="G21" s="42"/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</row>
    <row r="22" spans="1:87" ht="24" customHeight="1" x14ac:dyDescent="0.45">
      <c r="A22" s="46" t="s">
        <v>50</v>
      </c>
      <c r="B22" s="47" t="s">
        <v>48</v>
      </c>
      <c r="C22" s="48"/>
      <c r="D22" s="49">
        <v>46135</v>
      </c>
      <c r="E22" s="49">
        <v>46138</v>
      </c>
      <c r="F22" s="49">
        <v>46135</v>
      </c>
      <c r="G22" s="49"/>
      <c r="H22" s="50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</row>
    <row r="23" spans="1:87" ht="24" customHeight="1" x14ac:dyDescent="0.45">
      <c r="A23" s="64" t="s">
        <v>52</v>
      </c>
      <c r="B23" s="53" t="s">
        <v>48</v>
      </c>
      <c r="C23" s="54"/>
      <c r="D23" s="55">
        <v>46135</v>
      </c>
      <c r="E23" s="55">
        <v>46138</v>
      </c>
      <c r="F23" s="55">
        <v>46135</v>
      </c>
      <c r="G23" s="55"/>
      <c r="H23" s="56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</row>
    <row r="24" spans="1:87" ht="24" customHeight="1" x14ac:dyDescent="0.45">
      <c r="A24" s="64" t="s">
        <v>60</v>
      </c>
      <c r="B24" s="53" t="s">
        <v>48</v>
      </c>
      <c r="C24" s="54"/>
      <c r="D24" s="55">
        <v>46135</v>
      </c>
      <c r="E24" s="55">
        <v>46138</v>
      </c>
      <c r="F24" s="55">
        <v>46135</v>
      </c>
      <c r="G24" s="55"/>
      <c r="H24" s="56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</row>
    <row r="25" spans="1:87" ht="24" customHeight="1" x14ac:dyDescent="0.45">
      <c r="A25" s="64" t="s">
        <v>61</v>
      </c>
      <c r="B25" s="53" t="s">
        <v>48</v>
      </c>
      <c r="C25" s="54"/>
      <c r="D25" s="55">
        <v>46135</v>
      </c>
      <c r="E25" s="55">
        <v>46138</v>
      </c>
      <c r="F25" s="55">
        <v>46135</v>
      </c>
      <c r="G25" s="55"/>
      <c r="H25" s="56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</row>
    <row r="26" spans="1:87" ht="24" customHeight="1" x14ac:dyDescent="0.45">
      <c r="A26" s="64"/>
      <c r="B26" s="53" t="s">
        <v>48</v>
      </c>
      <c r="C26" s="54"/>
      <c r="D26" s="55"/>
      <c r="E26" s="55"/>
      <c r="F26" s="55"/>
      <c r="G26" s="55"/>
      <c r="H26" s="56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</row>
    <row r="27" spans="1:87" ht="24" customHeight="1" x14ac:dyDescent="0.45">
      <c r="A27" s="64"/>
      <c r="B27" s="53" t="s">
        <v>48</v>
      </c>
      <c r="C27" s="54"/>
      <c r="D27" s="55"/>
      <c r="E27" s="55"/>
      <c r="F27" s="55"/>
      <c r="G27" s="55"/>
      <c r="H27" s="56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</row>
    <row r="28" spans="1:87" ht="24" customHeight="1" x14ac:dyDescent="0.45"/>
    <row r="29" spans="1:87" ht="24" customHeight="1" x14ac:dyDescent="0.45">
      <c r="A29" s="59" t="s">
        <v>27</v>
      </c>
      <c r="B29" s="60"/>
      <c r="C29" s="61"/>
      <c r="D29" s="61"/>
      <c r="E29" s="61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</row>
    <row r="30" spans="1:87" ht="24" customHeight="1" x14ac:dyDescent="0.45"/>
    <row r="31" spans="1:87" ht="24" customHeight="1" x14ac:dyDescent="0.45">
      <c r="A31" s="81"/>
      <c r="B31" s="82"/>
      <c r="C31" s="83"/>
      <c r="D31" s="84"/>
      <c r="E31" s="84"/>
      <c r="F31" s="84"/>
      <c r="G31" s="79"/>
    </row>
    <row r="32" spans="1:87" ht="24" customHeight="1" x14ac:dyDescent="0.45">
      <c r="A32" s="85"/>
      <c r="B32" s="82"/>
      <c r="C32" s="83"/>
      <c r="D32" s="84"/>
      <c r="E32" s="84"/>
      <c r="F32" s="84"/>
      <c r="G32" s="79"/>
    </row>
    <row r="33" spans="1:7" ht="24" customHeight="1" x14ac:dyDescent="0.45">
      <c r="A33" s="85"/>
      <c r="B33" s="82"/>
      <c r="C33" s="83"/>
      <c r="D33" s="84"/>
      <c r="E33" s="84"/>
      <c r="F33" s="84"/>
      <c r="G33" s="79"/>
    </row>
    <row r="34" spans="1:7" x14ac:dyDescent="0.45">
      <c r="A34" s="85"/>
      <c r="B34" s="82"/>
      <c r="C34" s="83"/>
      <c r="D34" s="84"/>
      <c r="E34" s="84"/>
      <c r="F34" s="84"/>
      <c r="G34" s="79"/>
    </row>
    <row r="35" spans="1:7" x14ac:dyDescent="0.45">
      <c r="A35" s="82"/>
      <c r="B35" s="82"/>
      <c r="C35" s="83"/>
      <c r="D35" s="83"/>
      <c r="E35" s="83"/>
      <c r="F35" s="82"/>
      <c r="G35" s="79"/>
    </row>
    <row r="36" spans="1:7" x14ac:dyDescent="0.45">
      <c r="A36" s="81"/>
      <c r="B36" s="82"/>
      <c r="C36" s="83"/>
      <c r="D36" s="83"/>
      <c r="E36" s="83"/>
      <c r="F36" s="82"/>
      <c r="G36" s="79"/>
    </row>
    <row r="37" spans="1:7" x14ac:dyDescent="0.45">
      <c r="A37" s="85"/>
      <c r="B37" s="82"/>
      <c r="C37" s="83"/>
      <c r="D37" s="83"/>
      <c r="E37" s="83"/>
      <c r="F37" s="82"/>
      <c r="G37" s="79"/>
    </row>
    <row r="38" spans="1:7" x14ac:dyDescent="0.45">
      <c r="A38" s="85"/>
      <c r="B38" s="82"/>
      <c r="C38" s="83"/>
      <c r="D38" s="83"/>
      <c r="E38" s="83"/>
      <c r="F38" s="82"/>
      <c r="G38" s="79"/>
    </row>
    <row r="39" spans="1:7" x14ac:dyDescent="0.45">
      <c r="A39" s="85"/>
      <c r="B39" s="82"/>
      <c r="C39" s="83"/>
      <c r="D39" s="83"/>
      <c r="E39" s="83"/>
      <c r="F39" s="82"/>
      <c r="G39" s="79"/>
    </row>
    <row r="40" spans="1:7" x14ac:dyDescent="0.45">
      <c r="A40" s="79"/>
      <c r="B40" s="79"/>
      <c r="C40" s="80"/>
      <c r="D40" s="80"/>
      <c r="E40" s="80"/>
      <c r="F40" s="79"/>
      <c r="G40" s="79"/>
    </row>
  </sheetData>
  <sheetProtection insertRows="0"/>
  <mergeCells count="30">
    <mergeCell ref="D6:E6"/>
    <mergeCell ref="F6:G6"/>
    <mergeCell ref="BA5:BE5"/>
    <mergeCell ref="BF5:BJ5"/>
    <mergeCell ref="BK5:BO5"/>
    <mergeCell ref="W5:AA5"/>
    <mergeCell ref="AB5:AF5"/>
    <mergeCell ref="AG5:AK5"/>
    <mergeCell ref="AL5:AP5"/>
    <mergeCell ref="AQ5:AU5"/>
    <mergeCell ref="AV5:AZ5"/>
    <mergeCell ref="H5:L5"/>
    <mergeCell ref="M5:Q5"/>
    <mergeCell ref="Q1:Q4"/>
    <mergeCell ref="CE5:CI5"/>
    <mergeCell ref="BP5:BT5"/>
    <mergeCell ref="BU5:BY5"/>
    <mergeCell ref="BZ5:CD5"/>
    <mergeCell ref="AP1:AP4"/>
    <mergeCell ref="AZ1:AZ4"/>
    <mergeCell ref="BT1:BT4"/>
    <mergeCell ref="CD1:CD4"/>
    <mergeCell ref="R5:V5"/>
    <mergeCell ref="E1:G1"/>
    <mergeCell ref="A2:G2"/>
    <mergeCell ref="A3:G3"/>
    <mergeCell ref="A4:G4"/>
    <mergeCell ref="B5:C5"/>
    <mergeCell ref="D5:E5"/>
    <mergeCell ref="F5:G5"/>
  </mergeCells>
  <phoneticPr fontId="19"/>
  <conditionalFormatting sqref="F10:G10 F14:G21 G13 G22 F23:G27">
    <cfRule type="expression" dxfId="11" priority="8">
      <formula>D10&lt;F10</formula>
    </cfRule>
  </conditionalFormatting>
  <conditionalFormatting sqref="G8">
    <cfRule type="expression" dxfId="10" priority="5">
      <formula>E8&lt;G8</formula>
    </cfRule>
  </conditionalFormatting>
  <conditionalFormatting sqref="F8">
    <cfRule type="expression" dxfId="9" priority="4">
      <formula>D8&lt;F8</formula>
    </cfRule>
  </conditionalFormatting>
  <conditionalFormatting sqref="D23:D25">
    <cfRule type="expression" dxfId="8" priority="3">
      <formula>B23&lt;D23</formula>
    </cfRule>
  </conditionalFormatting>
  <conditionalFormatting sqref="F32:F34">
    <cfRule type="expression" dxfId="7" priority="2">
      <formula>D32&lt;F32</formula>
    </cfRule>
  </conditionalFormatting>
  <conditionalFormatting sqref="D32:D34">
    <cfRule type="expression" dxfId="6" priority="1">
      <formula>B32&lt;D32</formula>
    </cfRule>
  </conditionalFormatting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FAE6-9868-4881-B6EC-EAF3A31AE300}">
  <dimension ref="A1:CN38"/>
  <sheetViews>
    <sheetView workbookViewId="0">
      <selection activeCell="E15" sqref="E15"/>
    </sheetView>
  </sheetViews>
  <sheetFormatPr defaultColWidth="8.88671875" defaultRowHeight="18.75" x14ac:dyDescent="0.45"/>
  <cols>
    <col min="1" max="1" width="25.77734375" style="14" customWidth="1"/>
    <col min="2" max="2" width="11.6640625" style="14" customWidth="1"/>
    <col min="3" max="3" width="8.21875" style="15" customWidth="1"/>
    <col min="4" max="5" width="8.88671875" style="15" customWidth="1"/>
    <col min="6" max="6" width="8.88671875" style="14"/>
    <col min="7" max="7" width="8.88671875" style="14" customWidth="1"/>
    <col min="8" max="9" width="2.77734375" style="14" customWidth="1"/>
    <col min="10" max="10" width="2.6640625" style="14" customWidth="1"/>
    <col min="11" max="14" width="2.77734375" style="14" customWidth="1"/>
    <col min="15" max="15" width="2.6640625" style="14" customWidth="1"/>
    <col min="16" max="19" width="2.77734375" style="14" customWidth="1"/>
    <col min="20" max="20" width="2.6640625" style="14" customWidth="1"/>
    <col min="21" max="24" width="2.77734375" style="14" customWidth="1"/>
    <col min="25" max="25" width="2.6640625" style="14" customWidth="1"/>
    <col min="26" max="29" width="2.77734375" style="14" customWidth="1"/>
    <col min="30" max="30" width="2.6640625" style="14" customWidth="1"/>
    <col min="31" max="34" width="2.77734375" style="14" customWidth="1"/>
    <col min="35" max="35" width="2.6640625" style="14" customWidth="1"/>
    <col min="36" max="39" width="2.77734375" style="14" customWidth="1"/>
    <col min="40" max="40" width="2.6640625" style="14" customWidth="1"/>
    <col min="41" max="44" width="2.77734375" style="14" customWidth="1"/>
    <col min="45" max="45" width="2.6640625" style="14" customWidth="1"/>
    <col min="46" max="49" width="2.77734375" style="14" customWidth="1"/>
    <col min="50" max="50" width="2.6640625" style="14" customWidth="1"/>
    <col min="51" max="54" width="2.77734375" style="14" customWidth="1"/>
    <col min="55" max="55" width="2.6640625" style="14" customWidth="1"/>
    <col min="56" max="59" width="2.77734375" style="14" customWidth="1"/>
    <col min="60" max="60" width="2.6640625" style="14" customWidth="1"/>
    <col min="61" max="64" width="2.77734375" style="14" customWidth="1"/>
    <col min="65" max="65" width="2.6640625" style="14" customWidth="1"/>
    <col min="66" max="69" width="2.77734375" style="14" customWidth="1"/>
    <col min="70" max="70" width="2.6640625" style="14" customWidth="1"/>
    <col min="71" max="74" width="2.77734375" style="14" customWidth="1"/>
    <col min="75" max="75" width="2.6640625" style="14" customWidth="1"/>
    <col min="76" max="79" width="2.77734375" style="14" customWidth="1"/>
    <col min="80" max="80" width="2.6640625" style="14" customWidth="1"/>
    <col min="81" max="84" width="2.77734375" style="14" customWidth="1"/>
    <col min="85" max="85" width="2.6640625" style="14" customWidth="1"/>
    <col min="86" max="89" width="2.77734375" style="14" customWidth="1"/>
    <col min="90" max="90" width="2.6640625" style="14" customWidth="1"/>
    <col min="91" max="92" width="2.77734375" style="14" customWidth="1"/>
    <col min="93" max="16384" width="8.88671875" style="14"/>
  </cols>
  <sheetData>
    <row r="1" spans="1:92" ht="27.75" customHeight="1" x14ac:dyDescent="0.45">
      <c r="A1" s="71" t="s">
        <v>28</v>
      </c>
      <c r="D1" s="72" t="s">
        <v>1</v>
      </c>
      <c r="E1" s="86">
        <v>46125</v>
      </c>
      <c r="F1" s="86"/>
      <c r="G1" s="86"/>
    </row>
    <row r="2" spans="1:92" x14ac:dyDescent="0.45">
      <c r="A2" s="87" t="s">
        <v>29</v>
      </c>
      <c r="B2" s="87"/>
      <c r="C2" s="87"/>
      <c r="D2" s="87"/>
      <c r="E2" s="87"/>
      <c r="F2" s="87"/>
      <c r="G2" s="87"/>
    </row>
    <row r="3" spans="1:92" x14ac:dyDescent="0.45">
      <c r="A3" s="87" t="s">
        <v>30</v>
      </c>
      <c r="B3" s="87"/>
      <c r="C3" s="87"/>
      <c r="D3" s="87"/>
      <c r="E3" s="87"/>
      <c r="F3" s="87"/>
      <c r="G3" s="87"/>
    </row>
    <row r="4" spans="1:92" x14ac:dyDescent="0.45">
      <c r="A4" s="87" t="s">
        <v>31</v>
      </c>
      <c r="B4" s="87"/>
      <c r="C4" s="87"/>
      <c r="D4" s="87"/>
      <c r="E4" s="87"/>
      <c r="F4" s="87"/>
      <c r="G4" s="87"/>
    </row>
    <row r="5" spans="1:92" ht="18.75" customHeight="1" x14ac:dyDescent="0.45">
      <c r="D5" s="100"/>
      <c r="E5" s="100"/>
      <c r="F5" s="101"/>
      <c r="G5" s="101"/>
    </row>
    <row r="6" spans="1:92" x14ac:dyDescent="0.45">
      <c r="A6" s="70"/>
      <c r="B6" s="88"/>
      <c r="C6" s="88"/>
      <c r="D6" s="89"/>
      <c r="E6" s="89"/>
      <c r="F6" s="90"/>
      <c r="G6" s="91"/>
      <c r="H6" s="94">
        <f>H7</f>
        <v>46125</v>
      </c>
      <c r="I6" s="94"/>
      <c r="J6" s="94"/>
      <c r="K6" s="94"/>
      <c r="L6" s="94"/>
      <c r="M6" s="94">
        <f>H6+7</f>
        <v>46132</v>
      </c>
      <c r="N6" s="94"/>
      <c r="O6" s="94"/>
      <c r="P6" s="94"/>
      <c r="Q6" s="94"/>
      <c r="R6" s="94">
        <f>M6+7</f>
        <v>46139</v>
      </c>
      <c r="S6" s="94"/>
      <c r="T6" s="94"/>
      <c r="U6" s="94"/>
      <c r="V6" s="94"/>
      <c r="W6" s="94">
        <f>R6+7</f>
        <v>46146</v>
      </c>
      <c r="X6" s="94"/>
      <c r="Y6" s="94"/>
      <c r="Z6" s="94"/>
      <c r="AA6" s="94"/>
      <c r="AB6" s="94">
        <f>W6+7</f>
        <v>46153</v>
      </c>
      <c r="AC6" s="94"/>
      <c r="AD6" s="94"/>
      <c r="AE6" s="94"/>
      <c r="AF6" s="94"/>
      <c r="AG6" s="94">
        <f>AB6+7</f>
        <v>46160</v>
      </c>
      <c r="AH6" s="94"/>
      <c r="AI6" s="94"/>
      <c r="AJ6" s="94"/>
      <c r="AK6" s="94"/>
      <c r="AL6" s="94">
        <f>AG6+7</f>
        <v>46167</v>
      </c>
      <c r="AM6" s="94"/>
      <c r="AN6" s="94"/>
      <c r="AO6" s="94"/>
      <c r="AP6" s="94"/>
      <c r="AQ6" s="94">
        <f>AL6+7</f>
        <v>46174</v>
      </c>
      <c r="AR6" s="94"/>
      <c r="AS6" s="94"/>
      <c r="AT6" s="94"/>
      <c r="AU6" s="94"/>
      <c r="AV6" s="94">
        <f>AQ6+7</f>
        <v>46181</v>
      </c>
      <c r="AW6" s="94"/>
      <c r="AX6" s="94"/>
      <c r="AY6" s="94"/>
      <c r="AZ6" s="94"/>
      <c r="BA6" s="94">
        <f>AV6+7</f>
        <v>46188</v>
      </c>
      <c r="BB6" s="94"/>
      <c r="BC6" s="94"/>
      <c r="BD6" s="94"/>
      <c r="BE6" s="94"/>
      <c r="BF6" s="94">
        <f>BA6+7</f>
        <v>46195</v>
      </c>
      <c r="BG6" s="94"/>
      <c r="BH6" s="94"/>
      <c r="BI6" s="94"/>
      <c r="BJ6" s="94"/>
      <c r="BK6" s="94">
        <f>BF6+7</f>
        <v>46202</v>
      </c>
      <c r="BL6" s="94"/>
      <c r="BM6" s="94"/>
      <c r="BN6" s="94"/>
      <c r="BO6" s="94"/>
      <c r="BP6" s="94">
        <f>BK6+7</f>
        <v>46209</v>
      </c>
      <c r="BQ6" s="94"/>
      <c r="BR6" s="94"/>
      <c r="BS6" s="94"/>
      <c r="BT6" s="94"/>
      <c r="BU6" s="94">
        <f>BP6+7</f>
        <v>46216</v>
      </c>
      <c r="BV6" s="94"/>
      <c r="BW6" s="94"/>
      <c r="BX6" s="94"/>
      <c r="BY6" s="94"/>
      <c r="BZ6" s="94">
        <f>BU6+7</f>
        <v>46223</v>
      </c>
      <c r="CA6" s="94"/>
      <c r="CB6" s="94"/>
      <c r="CC6" s="94"/>
      <c r="CD6" s="94"/>
      <c r="CE6" s="94">
        <f>BZ6+7</f>
        <v>46230</v>
      </c>
      <c r="CF6" s="94"/>
      <c r="CG6" s="94"/>
      <c r="CH6" s="94"/>
      <c r="CI6" s="94"/>
      <c r="CJ6" s="94">
        <f>CE6+7</f>
        <v>46237</v>
      </c>
      <c r="CK6" s="94"/>
      <c r="CL6" s="94"/>
      <c r="CM6" s="94"/>
      <c r="CN6" s="94"/>
    </row>
    <row r="7" spans="1:92" x14ac:dyDescent="0.45">
      <c r="A7" s="65"/>
      <c r="B7" s="65"/>
      <c r="C7" s="66"/>
      <c r="D7" s="97" t="s">
        <v>7</v>
      </c>
      <c r="E7" s="98"/>
      <c r="F7" s="99" t="s">
        <v>8</v>
      </c>
      <c r="G7" s="98"/>
      <c r="H7" s="67">
        <f>E1-WEEKDAY(E1,1)+2</f>
        <v>46125</v>
      </c>
      <c r="I7" s="67">
        <f>H7+1</f>
        <v>46126</v>
      </c>
      <c r="J7" s="67">
        <f t="shared" ref="J7:L7" si="0">I7+1</f>
        <v>46127</v>
      </c>
      <c r="K7" s="67">
        <f t="shared" si="0"/>
        <v>46128</v>
      </c>
      <c r="L7" s="67">
        <f t="shared" si="0"/>
        <v>46129</v>
      </c>
      <c r="M7" s="67">
        <f>M6</f>
        <v>46132</v>
      </c>
      <c r="N7" s="67">
        <f>M7+1</f>
        <v>46133</v>
      </c>
      <c r="O7" s="67">
        <f t="shared" ref="O7:Q7" si="1">N7+1</f>
        <v>46134</v>
      </c>
      <c r="P7" s="67">
        <f t="shared" si="1"/>
        <v>46135</v>
      </c>
      <c r="Q7" s="67">
        <f t="shared" si="1"/>
        <v>46136</v>
      </c>
      <c r="R7" s="67">
        <f>R6</f>
        <v>46139</v>
      </c>
      <c r="S7" s="67">
        <f>R7+1</f>
        <v>46140</v>
      </c>
      <c r="T7" s="67">
        <f t="shared" ref="T7:V7" si="2">S7+1</f>
        <v>46141</v>
      </c>
      <c r="U7" s="67">
        <f t="shared" si="2"/>
        <v>46142</v>
      </c>
      <c r="V7" s="67">
        <f t="shared" si="2"/>
        <v>46143</v>
      </c>
      <c r="W7" s="68">
        <f>W6</f>
        <v>46146</v>
      </c>
      <c r="X7" s="67">
        <f>W7+1</f>
        <v>46147</v>
      </c>
      <c r="Y7" s="67">
        <f t="shared" ref="Y7:AA7" si="3">X7+1</f>
        <v>46148</v>
      </c>
      <c r="Z7" s="67">
        <f t="shared" si="3"/>
        <v>46149</v>
      </c>
      <c r="AA7" s="68">
        <f t="shared" si="3"/>
        <v>46150</v>
      </c>
      <c r="AB7" s="68">
        <f>AB6</f>
        <v>46153</v>
      </c>
      <c r="AC7" s="67">
        <f>AB7+1</f>
        <v>46154</v>
      </c>
      <c r="AD7" s="67">
        <f t="shared" ref="AD7:AF7" si="4">AC7+1</f>
        <v>46155</v>
      </c>
      <c r="AE7" s="67">
        <f t="shared" si="4"/>
        <v>46156</v>
      </c>
      <c r="AF7" s="67">
        <f t="shared" si="4"/>
        <v>46157</v>
      </c>
      <c r="AG7" s="67">
        <f>AG6</f>
        <v>46160</v>
      </c>
      <c r="AH7" s="67">
        <f>AG7+1</f>
        <v>46161</v>
      </c>
      <c r="AI7" s="67">
        <f t="shared" ref="AI7:AK7" si="5">AH7+1</f>
        <v>46162</v>
      </c>
      <c r="AJ7" s="67">
        <f t="shared" si="5"/>
        <v>46163</v>
      </c>
      <c r="AK7" s="67">
        <f t="shared" si="5"/>
        <v>46164</v>
      </c>
      <c r="AL7" s="67">
        <f>AL6</f>
        <v>46167</v>
      </c>
      <c r="AM7" s="67">
        <f>AL7+1</f>
        <v>46168</v>
      </c>
      <c r="AN7" s="67">
        <f t="shared" ref="AN7:AP7" si="6">AM7+1</f>
        <v>46169</v>
      </c>
      <c r="AO7" s="67">
        <f t="shared" si="6"/>
        <v>46170</v>
      </c>
      <c r="AP7" s="67">
        <f t="shared" si="6"/>
        <v>46171</v>
      </c>
      <c r="AQ7" s="67">
        <f>AQ6</f>
        <v>46174</v>
      </c>
      <c r="AR7" s="67">
        <f>AQ7+1</f>
        <v>46175</v>
      </c>
      <c r="AS7" s="67">
        <f t="shared" ref="AS7:AU7" si="7">AR7+1</f>
        <v>46176</v>
      </c>
      <c r="AT7" s="67">
        <f t="shared" si="7"/>
        <v>46177</v>
      </c>
      <c r="AU7" s="67">
        <f t="shared" si="7"/>
        <v>46178</v>
      </c>
      <c r="AV7" s="67">
        <f>AV6</f>
        <v>46181</v>
      </c>
      <c r="AW7" s="67">
        <f>AV7+1</f>
        <v>46182</v>
      </c>
      <c r="AX7" s="67">
        <f t="shared" ref="AX7:AZ7" si="8">AW7+1</f>
        <v>46183</v>
      </c>
      <c r="AY7" s="67">
        <f t="shared" si="8"/>
        <v>46184</v>
      </c>
      <c r="AZ7" s="67">
        <f t="shared" si="8"/>
        <v>46185</v>
      </c>
      <c r="BA7" s="67">
        <f>BA6</f>
        <v>46188</v>
      </c>
      <c r="BB7" s="67">
        <f>BA7+1</f>
        <v>46189</v>
      </c>
      <c r="BC7" s="67">
        <f t="shared" ref="BC7:BE7" si="9">BB7+1</f>
        <v>46190</v>
      </c>
      <c r="BD7" s="67">
        <f t="shared" si="9"/>
        <v>46191</v>
      </c>
      <c r="BE7" s="67">
        <f t="shared" si="9"/>
        <v>46192</v>
      </c>
      <c r="BF7" s="67">
        <f>BF6</f>
        <v>46195</v>
      </c>
      <c r="BG7" s="67">
        <f>BF7+1</f>
        <v>46196</v>
      </c>
      <c r="BH7" s="67">
        <f t="shared" ref="BH7:BJ7" si="10">BG7+1</f>
        <v>46197</v>
      </c>
      <c r="BI7" s="67">
        <f t="shared" si="10"/>
        <v>46198</v>
      </c>
      <c r="BJ7" s="67">
        <f t="shared" si="10"/>
        <v>46199</v>
      </c>
      <c r="BK7" s="67">
        <f>BK6</f>
        <v>46202</v>
      </c>
      <c r="BL7" s="67">
        <f>BK7+1</f>
        <v>46203</v>
      </c>
      <c r="BM7" s="67">
        <f t="shared" ref="BM7:BO7" si="11">BL7+1</f>
        <v>46204</v>
      </c>
      <c r="BN7" s="67">
        <f t="shared" si="11"/>
        <v>46205</v>
      </c>
      <c r="BO7" s="67">
        <f t="shared" si="11"/>
        <v>46206</v>
      </c>
      <c r="BP7" s="67">
        <f>BP6</f>
        <v>46209</v>
      </c>
      <c r="BQ7" s="67">
        <f>BP7+1</f>
        <v>46210</v>
      </c>
      <c r="BR7" s="67">
        <f t="shared" ref="BR7:BT7" si="12">BQ7+1</f>
        <v>46211</v>
      </c>
      <c r="BS7" s="67">
        <f t="shared" si="12"/>
        <v>46212</v>
      </c>
      <c r="BT7" s="67">
        <f t="shared" si="12"/>
        <v>46213</v>
      </c>
      <c r="BU7" s="67">
        <f>BU6</f>
        <v>46216</v>
      </c>
      <c r="BV7" s="67">
        <f>BU7+1</f>
        <v>46217</v>
      </c>
      <c r="BW7" s="67">
        <f t="shared" ref="BW7:BY7" si="13">BV7+1</f>
        <v>46218</v>
      </c>
      <c r="BX7" s="67">
        <f t="shared" si="13"/>
        <v>46219</v>
      </c>
      <c r="BY7" s="67">
        <f t="shared" si="13"/>
        <v>46220</v>
      </c>
      <c r="BZ7" s="68">
        <f>BZ6</f>
        <v>46223</v>
      </c>
      <c r="CA7" s="67">
        <f>BZ7+1</f>
        <v>46224</v>
      </c>
      <c r="CB7" s="67">
        <f t="shared" ref="CB7:CD7" si="14">CA7+1</f>
        <v>46225</v>
      </c>
      <c r="CC7" s="67">
        <f t="shared" si="14"/>
        <v>46226</v>
      </c>
      <c r="CD7" s="67">
        <f t="shared" si="14"/>
        <v>46227</v>
      </c>
      <c r="CE7" s="67">
        <f>CE6</f>
        <v>46230</v>
      </c>
      <c r="CF7" s="67">
        <f>CE7+1</f>
        <v>46231</v>
      </c>
      <c r="CG7" s="67">
        <f t="shared" ref="CG7:CI7" si="15">CF7+1</f>
        <v>46232</v>
      </c>
      <c r="CH7" s="67">
        <f t="shared" si="15"/>
        <v>46233</v>
      </c>
      <c r="CI7" s="67">
        <f t="shared" si="15"/>
        <v>46234</v>
      </c>
      <c r="CJ7" s="67">
        <f>CJ6</f>
        <v>46237</v>
      </c>
      <c r="CK7" s="67">
        <f>CJ7+1</f>
        <v>46238</v>
      </c>
      <c r="CL7" s="67">
        <f t="shared" ref="CL7:CN7" si="16">CK7+1</f>
        <v>46239</v>
      </c>
      <c r="CM7" s="67">
        <f t="shared" si="16"/>
        <v>46240</v>
      </c>
      <c r="CN7" s="67">
        <f t="shared" si="16"/>
        <v>46241</v>
      </c>
    </row>
    <row r="8" spans="1:92" ht="19.5" customHeight="1" x14ac:dyDescent="0.45">
      <c r="A8" s="69" t="s">
        <v>9</v>
      </c>
      <c r="B8" s="69" t="s">
        <v>10</v>
      </c>
      <c r="C8" s="69" t="s">
        <v>11</v>
      </c>
      <c r="D8" s="69" t="s">
        <v>12</v>
      </c>
      <c r="E8" s="69" t="s">
        <v>13</v>
      </c>
      <c r="F8" s="69" t="s">
        <v>12</v>
      </c>
      <c r="G8" s="69" t="s">
        <v>13</v>
      </c>
      <c r="H8" s="69" t="s">
        <v>14</v>
      </c>
      <c r="I8" s="69" t="s">
        <v>15</v>
      </c>
      <c r="J8" s="69" t="s">
        <v>16</v>
      </c>
      <c r="K8" s="69" t="s">
        <v>17</v>
      </c>
      <c r="L8" s="69" t="s">
        <v>18</v>
      </c>
      <c r="M8" s="69" t="s">
        <v>14</v>
      </c>
      <c r="N8" s="69" t="s">
        <v>15</v>
      </c>
      <c r="O8" s="69" t="s">
        <v>16</v>
      </c>
      <c r="P8" s="69" t="s">
        <v>17</v>
      </c>
      <c r="Q8" s="69" t="s">
        <v>18</v>
      </c>
      <c r="R8" s="69" t="s">
        <v>14</v>
      </c>
      <c r="S8" s="69" t="s">
        <v>15</v>
      </c>
      <c r="T8" s="69" t="s">
        <v>16</v>
      </c>
      <c r="U8" s="69" t="s">
        <v>17</v>
      </c>
      <c r="V8" s="69" t="s">
        <v>18</v>
      </c>
      <c r="W8" s="69" t="s">
        <v>14</v>
      </c>
      <c r="X8" s="69" t="s">
        <v>15</v>
      </c>
      <c r="Y8" s="69" t="s">
        <v>16</v>
      </c>
      <c r="Z8" s="69" t="s">
        <v>17</v>
      </c>
      <c r="AA8" s="69" t="s">
        <v>18</v>
      </c>
      <c r="AB8" s="69" t="s">
        <v>14</v>
      </c>
      <c r="AC8" s="69" t="s">
        <v>15</v>
      </c>
      <c r="AD8" s="69" t="s">
        <v>16</v>
      </c>
      <c r="AE8" s="69" t="s">
        <v>17</v>
      </c>
      <c r="AF8" s="69" t="s">
        <v>18</v>
      </c>
      <c r="AG8" s="69" t="s">
        <v>14</v>
      </c>
      <c r="AH8" s="69" t="s">
        <v>15</v>
      </c>
      <c r="AI8" s="69" t="s">
        <v>16</v>
      </c>
      <c r="AJ8" s="69" t="s">
        <v>17</v>
      </c>
      <c r="AK8" s="69" t="s">
        <v>18</v>
      </c>
      <c r="AL8" s="69" t="s">
        <v>14</v>
      </c>
      <c r="AM8" s="69" t="s">
        <v>15</v>
      </c>
      <c r="AN8" s="69" t="s">
        <v>16</v>
      </c>
      <c r="AO8" s="69" t="s">
        <v>17</v>
      </c>
      <c r="AP8" s="69" t="s">
        <v>18</v>
      </c>
      <c r="AQ8" s="69" t="s">
        <v>14</v>
      </c>
      <c r="AR8" s="69" t="s">
        <v>15</v>
      </c>
      <c r="AS8" s="69" t="s">
        <v>16</v>
      </c>
      <c r="AT8" s="69" t="s">
        <v>17</v>
      </c>
      <c r="AU8" s="69" t="s">
        <v>18</v>
      </c>
      <c r="AV8" s="69" t="s">
        <v>14</v>
      </c>
      <c r="AW8" s="69" t="s">
        <v>15</v>
      </c>
      <c r="AX8" s="69" t="s">
        <v>16</v>
      </c>
      <c r="AY8" s="69" t="s">
        <v>17</v>
      </c>
      <c r="AZ8" s="69" t="s">
        <v>18</v>
      </c>
      <c r="BA8" s="69" t="s">
        <v>14</v>
      </c>
      <c r="BB8" s="69" t="s">
        <v>15</v>
      </c>
      <c r="BC8" s="69" t="s">
        <v>16</v>
      </c>
      <c r="BD8" s="69" t="s">
        <v>17</v>
      </c>
      <c r="BE8" s="69" t="s">
        <v>18</v>
      </c>
      <c r="BF8" s="69" t="s">
        <v>14</v>
      </c>
      <c r="BG8" s="69" t="s">
        <v>15</v>
      </c>
      <c r="BH8" s="69" t="s">
        <v>16</v>
      </c>
      <c r="BI8" s="69" t="s">
        <v>17</v>
      </c>
      <c r="BJ8" s="69" t="s">
        <v>18</v>
      </c>
      <c r="BK8" s="69" t="s">
        <v>14</v>
      </c>
      <c r="BL8" s="69" t="s">
        <v>15</v>
      </c>
      <c r="BM8" s="69" t="s">
        <v>16</v>
      </c>
      <c r="BN8" s="69" t="s">
        <v>17</v>
      </c>
      <c r="BO8" s="69" t="s">
        <v>18</v>
      </c>
      <c r="BP8" s="69" t="s">
        <v>14</v>
      </c>
      <c r="BQ8" s="69" t="s">
        <v>15</v>
      </c>
      <c r="BR8" s="69" t="s">
        <v>16</v>
      </c>
      <c r="BS8" s="69" t="s">
        <v>17</v>
      </c>
      <c r="BT8" s="69" t="s">
        <v>18</v>
      </c>
      <c r="BU8" s="69" t="s">
        <v>14</v>
      </c>
      <c r="BV8" s="69" t="s">
        <v>15</v>
      </c>
      <c r="BW8" s="69" t="s">
        <v>16</v>
      </c>
      <c r="BX8" s="69" t="s">
        <v>17</v>
      </c>
      <c r="BY8" s="69" t="s">
        <v>18</v>
      </c>
      <c r="BZ8" s="69" t="s">
        <v>14</v>
      </c>
      <c r="CA8" s="69" t="s">
        <v>15</v>
      </c>
      <c r="CB8" s="69" t="s">
        <v>16</v>
      </c>
      <c r="CC8" s="69" t="s">
        <v>17</v>
      </c>
      <c r="CD8" s="69" t="s">
        <v>18</v>
      </c>
      <c r="CE8" s="69" t="s">
        <v>14</v>
      </c>
      <c r="CF8" s="69" t="s">
        <v>15</v>
      </c>
      <c r="CG8" s="69" t="s">
        <v>16</v>
      </c>
      <c r="CH8" s="69" t="s">
        <v>17</v>
      </c>
      <c r="CI8" s="69" t="s">
        <v>18</v>
      </c>
      <c r="CJ8" s="69" t="s">
        <v>14</v>
      </c>
      <c r="CK8" s="69" t="s">
        <v>15</v>
      </c>
      <c r="CL8" s="69" t="s">
        <v>16</v>
      </c>
      <c r="CM8" s="69" t="s">
        <v>17</v>
      </c>
      <c r="CN8" s="69" t="s">
        <v>18</v>
      </c>
    </row>
    <row r="9" spans="1:92" ht="24" customHeight="1" x14ac:dyDescent="0.45">
      <c r="A9" s="1" t="s">
        <v>32</v>
      </c>
      <c r="B9" s="2" t="s">
        <v>33</v>
      </c>
      <c r="C9" s="12">
        <v>40</v>
      </c>
      <c r="D9" s="8">
        <v>45761</v>
      </c>
      <c r="E9" s="8">
        <v>45777</v>
      </c>
      <c r="F9" s="8">
        <v>45761</v>
      </c>
      <c r="G9" s="8"/>
      <c r="H9" s="73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74"/>
      <c r="V9" s="74"/>
      <c r="W9" s="74"/>
      <c r="X9" s="74"/>
      <c r="Y9" s="5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7"/>
    </row>
    <row r="10" spans="1:92" ht="24" customHeight="1" x14ac:dyDescent="0.45">
      <c r="A10" s="3" t="s">
        <v>34</v>
      </c>
      <c r="B10" s="4" t="s">
        <v>35</v>
      </c>
      <c r="C10" s="13">
        <v>100</v>
      </c>
      <c r="D10" s="9">
        <v>45761</v>
      </c>
      <c r="E10" s="9">
        <v>45763</v>
      </c>
      <c r="F10" s="9">
        <v>45761</v>
      </c>
      <c r="G10" s="9">
        <v>45763</v>
      </c>
      <c r="H10" s="75"/>
      <c r="I10" s="11"/>
      <c r="J10" s="11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9"/>
    </row>
    <row r="11" spans="1:92" ht="24" customHeight="1" x14ac:dyDescent="0.45">
      <c r="A11" s="3" t="s">
        <v>36</v>
      </c>
      <c r="B11" s="4" t="s">
        <v>37</v>
      </c>
      <c r="C11" s="13">
        <v>100</v>
      </c>
      <c r="D11" s="9">
        <v>45764</v>
      </c>
      <c r="E11" s="9">
        <v>45766</v>
      </c>
      <c r="F11" s="9">
        <v>45764</v>
      </c>
      <c r="G11" s="9">
        <v>45769</v>
      </c>
      <c r="H11" s="6"/>
      <c r="I11" s="7"/>
      <c r="J11" s="7"/>
      <c r="K11" s="11"/>
      <c r="L11" s="11"/>
      <c r="M11" s="11"/>
      <c r="N11" s="11"/>
      <c r="O11" s="7"/>
      <c r="P11" s="7"/>
      <c r="Q11" s="7"/>
      <c r="R11" s="7"/>
      <c r="S11" s="7"/>
      <c r="T11" s="7"/>
      <c r="U11" s="7"/>
      <c r="V11" s="7"/>
      <c r="W11" s="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9"/>
    </row>
    <row r="12" spans="1:92" ht="24" customHeight="1" x14ac:dyDescent="0.45">
      <c r="A12" s="3" t="s">
        <v>38</v>
      </c>
      <c r="B12" s="4" t="s">
        <v>39</v>
      </c>
      <c r="C12" s="13"/>
      <c r="D12" s="9">
        <v>45769</v>
      </c>
      <c r="E12" s="9">
        <v>45771</v>
      </c>
      <c r="F12" s="9">
        <v>45769</v>
      </c>
      <c r="G12" s="9">
        <v>45770</v>
      </c>
      <c r="H12" s="6"/>
      <c r="I12" s="7"/>
      <c r="J12" s="7"/>
      <c r="K12" s="7"/>
      <c r="L12" s="7"/>
      <c r="M12" s="7"/>
      <c r="N12" s="11"/>
      <c r="O12" s="10"/>
      <c r="P12" s="10"/>
      <c r="Q12" s="7"/>
      <c r="R12" s="7"/>
      <c r="S12" s="7"/>
      <c r="T12" s="7"/>
      <c r="U12" s="7"/>
      <c r="V12" s="7"/>
      <c r="W12" s="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9"/>
    </row>
    <row r="13" spans="1:92" ht="24" customHeight="1" x14ac:dyDescent="0.45">
      <c r="A13" s="3" t="s">
        <v>40</v>
      </c>
      <c r="B13" s="4" t="s">
        <v>39</v>
      </c>
      <c r="C13" s="13"/>
      <c r="D13" s="9">
        <v>45769</v>
      </c>
      <c r="E13" s="9">
        <v>45773</v>
      </c>
      <c r="F13" s="9"/>
      <c r="G13" s="9"/>
      <c r="H13" s="6"/>
      <c r="I13" s="7"/>
      <c r="J13" s="7"/>
      <c r="K13" s="7"/>
      <c r="L13" s="7"/>
      <c r="M13" s="7"/>
      <c r="N13" s="10"/>
      <c r="O13" s="10"/>
      <c r="P13" s="10"/>
      <c r="Q13" s="10"/>
      <c r="R13" s="10"/>
      <c r="S13" s="7"/>
      <c r="T13" s="7"/>
      <c r="U13" s="7"/>
      <c r="V13" s="7"/>
      <c r="W13" s="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9"/>
    </row>
    <row r="14" spans="1:92" ht="24" customHeight="1" x14ac:dyDescent="0.45">
      <c r="A14" s="3" t="s">
        <v>41</v>
      </c>
      <c r="B14" s="4" t="s">
        <v>33</v>
      </c>
      <c r="C14" s="13"/>
      <c r="D14" s="9">
        <v>45772</v>
      </c>
      <c r="E14" s="9">
        <v>45776</v>
      </c>
      <c r="F14" s="9"/>
      <c r="G14" s="9"/>
      <c r="H14" s="6"/>
      <c r="I14" s="7"/>
      <c r="J14" s="7"/>
      <c r="K14" s="7"/>
      <c r="L14" s="7"/>
      <c r="M14" s="7"/>
      <c r="N14" s="7"/>
      <c r="O14" s="7"/>
      <c r="P14" s="7"/>
      <c r="Q14" s="10"/>
      <c r="R14" s="10"/>
      <c r="S14" s="10"/>
      <c r="T14" s="10"/>
      <c r="U14" s="7"/>
      <c r="V14" s="7"/>
      <c r="W14" s="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9"/>
    </row>
    <row r="15" spans="1:92" ht="24" customHeight="1" x14ac:dyDescent="0.45">
      <c r="A15" s="20" t="s">
        <v>24</v>
      </c>
      <c r="B15" s="21"/>
      <c r="C15" s="22"/>
      <c r="D15" s="23"/>
      <c r="E15" s="23"/>
      <c r="F15" s="23"/>
      <c r="G15" s="23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6"/>
    </row>
    <row r="16" spans="1:92" ht="24" customHeight="1" x14ac:dyDescent="0.45">
      <c r="A16" s="62" t="s">
        <v>19</v>
      </c>
      <c r="B16" s="27"/>
      <c r="C16" s="28"/>
      <c r="D16" s="29"/>
      <c r="E16" s="29"/>
      <c r="F16" s="29"/>
      <c r="G16" s="29"/>
      <c r="H16" s="30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2"/>
    </row>
    <row r="17" spans="1:92" ht="24" customHeight="1" x14ac:dyDescent="0.45">
      <c r="A17" s="62" t="s">
        <v>20</v>
      </c>
      <c r="B17" s="27"/>
      <c r="C17" s="28"/>
      <c r="D17" s="29"/>
      <c r="E17" s="29"/>
      <c r="F17" s="29"/>
      <c r="G17" s="29"/>
      <c r="H17" s="30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2"/>
    </row>
    <row r="18" spans="1:92" ht="24" customHeight="1" x14ac:dyDescent="0.45">
      <c r="A18" s="62" t="s">
        <v>21</v>
      </c>
      <c r="B18" s="27"/>
      <c r="C18" s="28"/>
      <c r="D18" s="29"/>
      <c r="E18" s="29"/>
      <c r="F18" s="29"/>
      <c r="G18" s="29"/>
      <c r="H18" s="30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2"/>
    </row>
    <row r="19" spans="1:92" ht="24" customHeight="1" x14ac:dyDescent="0.45">
      <c r="A19" s="62" t="s">
        <v>22</v>
      </c>
      <c r="B19" s="27"/>
      <c r="C19" s="28"/>
      <c r="D19" s="29"/>
      <c r="E19" s="29"/>
      <c r="F19" s="29"/>
      <c r="G19" s="29"/>
      <c r="H19" s="30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2"/>
    </row>
    <row r="20" spans="1:92" ht="24" customHeight="1" x14ac:dyDescent="0.45">
      <c r="A20" s="62" t="s">
        <v>23</v>
      </c>
      <c r="B20" s="27"/>
      <c r="C20" s="28"/>
      <c r="D20" s="29"/>
      <c r="E20" s="29"/>
      <c r="F20" s="29"/>
      <c r="G20" s="29"/>
      <c r="H20" s="30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2"/>
    </row>
    <row r="21" spans="1:92" ht="24" customHeight="1" x14ac:dyDescent="0.45">
      <c r="A21" s="33" t="s">
        <v>25</v>
      </c>
      <c r="B21" s="34"/>
      <c r="C21" s="35"/>
      <c r="D21" s="36"/>
      <c r="E21" s="36"/>
      <c r="F21" s="36"/>
      <c r="G21" s="36"/>
      <c r="H21" s="37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9"/>
    </row>
    <row r="22" spans="1:92" ht="24" customHeight="1" x14ac:dyDescent="0.45">
      <c r="A22" s="63" t="s">
        <v>19</v>
      </c>
      <c r="B22" s="40"/>
      <c r="C22" s="41"/>
      <c r="D22" s="42"/>
      <c r="E22" s="42"/>
      <c r="F22" s="42"/>
      <c r="G22" s="42"/>
      <c r="H22" s="43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5"/>
    </row>
    <row r="23" spans="1:92" ht="24" customHeight="1" x14ac:dyDescent="0.45">
      <c r="A23" s="63" t="s">
        <v>20</v>
      </c>
      <c r="B23" s="40"/>
      <c r="C23" s="41"/>
      <c r="D23" s="42"/>
      <c r="E23" s="42"/>
      <c r="F23" s="42"/>
      <c r="G23" s="42"/>
      <c r="H23" s="43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5"/>
    </row>
    <row r="24" spans="1:92" ht="24" customHeight="1" x14ac:dyDescent="0.45">
      <c r="A24" s="63" t="s">
        <v>21</v>
      </c>
      <c r="B24" s="40"/>
      <c r="C24" s="41"/>
      <c r="D24" s="42"/>
      <c r="E24" s="42"/>
      <c r="F24" s="42"/>
      <c r="G24" s="42"/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5"/>
    </row>
    <row r="25" spans="1:92" ht="24" customHeight="1" x14ac:dyDescent="0.45">
      <c r="A25" s="63" t="s">
        <v>22</v>
      </c>
      <c r="B25" s="40"/>
      <c r="C25" s="41"/>
      <c r="D25" s="42"/>
      <c r="E25" s="42"/>
      <c r="F25" s="42"/>
      <c r="G25" s="42"/>
      <c r="H25" s="43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5"/>
    </row>
    <row r="26" spans="1:92" ht="24" customHeight="1" x14ac:dyDescent="0.45">
      <c r="A26" s="63" t="s">
        <v>23</v>
      </c>
      <c r="B26" s="40"/>
      <c r="C26" s="41"/>
      <c r="D26" s="42"/>
      <c r="E26" s="42"/>
      <c r="F26" s="42"/>
      <c r="G26" s="42"/>
      <c r="H26" s="43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5"/>
    </row>
    <row r="27" spans="1:92" ht="24" customHeight="1" x14ac:dyDescent="0.45">
      <c r="A27" s="46" t="s">
        <v>26</v>
      </c>
      <c r="B27" s="47"/>
      <c r="C27" s="48"/>
      <c r="D27" s="49"/>
      <c r="E27" s="49"/>
      <c r="F27" s="49"/>
      <c r="G27" s="49"/>
      <c r="H27" s="50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2"/>
    </row>
    <row r="28" spans="1:92" ht="24" customHeight="1" x14ac:dyDescent="0.45">
      <c r="A28" s="64" t="s">
        <v>19</v>
      </c>
      <c r="B28" s="53"/>
      <c r="C28" s="54"/>
      <c r="D28" s="55"/>
      <c r="E28" s="55"/>
      <c r="F28" s="55"/>
      <c r="G28" s="55"/>
      <c r="H28" s="56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8"/>
    </row>
    <row r="29" spans="1:92" ht="24" customHeight="1" x14ac:dyDescent="0.45">
      <c r="A29" s="64" t="s">
        <v>20</v>
      </c>
      <c r="B29" s="53"/>
      <c r="C29" s="54"/>
      <c r="D29" s="55"/>
      <c r="E29" s="55"/>
      <c r="F29" s="55"/>
      <c r="G29" s="55"/>
      <c r="H29" s="56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8"/>
    </row>
    <row r="30" spans="1:92" ht="24" customHeight="1" x14ac:dyDescent="0.45">
      <c r="A30" s="64" t="s">
        <v>21</v>
      </c>
      <c r="B30" s="53"/>
      <c r="C30" s="54"/>
      <c r="D30" s="55"/>
      <c r="E30" s="55"/>
      <c r="F30" s="55"/>
      <c r="G30" s="55"/>
      <c r="H30" s="56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8"/>
    </row>
    <row r="31" spans="1:92" ht="24" customHeight="1" x14ac:dyDescent="0.45">
      <c r="A31" s="64" t="s">
        <v>22</v>
      </c>
      <c r="B31" s="53"/>
      <c r="C31" s="54"/>
      <c r="D31" s="55"/>
      <c r="E31" s="55"/>
      <c r="F31" s="55"/>
      <c r="G31" s="55"/>
      <c r="H31" s="56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8"/>
    </row>
    <row r="32" spans="1:92" ht="24" customHeight="1" x14ac:dyDescent="0.45">
      <c r="A32" s="64" t="s">
        <v>23</v>
      </c>
      <c r="B32" s="53"/>
      <c r="C32" s="54"/>
      <c r="D32" s="55"/>
      <c r="E32" s="55"/>
      <c r="F32" s="55"/>
      <c r="G32" s="55"/>
      <c r="H32" s="56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8"/>
    </row>
    <row r="33" spans="1:92" ht="24" customHeight="1" x14ac:dyDescent="0.45"/>
    <row r="34" spans="1:92" ht="24" customHeight="1" x14ac:dyDescent="0.45">
      <c r="A34" s="59" t="s">
        <v>27</v>
      </c>
      <c r="B34" s="60"/>
      <c r="C34" s="61"/>
      <c r="D34" s="61"/>
      <c r="E34" s="61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</row>
    <row r="35" spans="1:92" ht="24" customHeight="1" x14ac:dyDescent="0.45"/>
    <row r="36" spans="1:92" ht="24" customHeight="1" x14ac:dyDescent="0.45"/>
    <row r="37" spans="1:92" ht="24" customHeight="1" x14ac:dyDescent="0.45"/>
    <row r="38" spans="1:92" ht="24" customHeight="1" x14ac:dyDescent="0.45"/>
  </sheetData>
  <sheetProtection insertRows="0"/>
  <mergeCells count="28">
    <mergeCell ref="R6:V6"/>
    <mergeCell ref="E1:G1"/>
    <mergeCell ref="A2:G2"/>
    <mergeCell ref="A3:G3"/>
    <mergeCell ref="A4:G4"/>
    <mergeCell ref="D5:E5"/>
    <mergeCell ref="F5:G5"/>
    <mergeCell ref="B6:C6"/>
    <mergeCell ref="D6:E6"/>
    <mergeCell ref="F6:G6"/>
    <mergeCell ref="H6:L6"/>
    <mergeCell ref="M6:Q6"/>
    <mergeCell ref="CE6:CI6"/>
    <mergeCell ref="CJ6:CN6"/>
    <mergeCell ref="D7:E7"/>
    <mergeCell ref="F7:G7"/>
    <mergeCell ref="BA6:BE6"/>
    <mergeCell ref="BF6:BJ6"/>
    <mergeCell ref="BK6:BO6"/>
    <mergeCell ref="BP6:BT6"/>
    <mergeCell ref="BU6:BY6"/>
    <mergeCell ref="BZ6:CD6"/>
    <mergeCell ref="W6:AA6"/>
    <mergeCell ref="AB6:AF6"/>
    <mergeCell ref="AG6:AK6"/>
    <mergeCell ref="AL6:AP6"/>
    <mergeCell ref="AQ6:AU6"/>
    <mergeCell ref="AV6:AZ6"/>
  </mergeCells>
  <phoneticPr fontId="19"/>
  <conditionalFormatting sqref="F15:G32">
    <cfRule type="expression" dxfId="5" priority="9">
      <formula>D15&lt;F15</formula>
    </cfRule>
  </conditionalFormatting>
  <conditionalFormatting sqref="G9">
    <cfRule type="expression" dxfId="4" priority="3">
      <formula>E9&lt;G9</formula>
    </cfRule>
  </conditionalFormatting>
  <conditionalFormatting sqref="F9">
    <cfRule type="expression" dxfId="3" priority="2">
      <formula>D9&lt;F9</formula>
    </cfRule>
  </conditionalFormatting>
  <conditionalFormatting sqref="G10:G11 G13:G14">
    <cfRule type="expression" dxfId="2" priority="5">
      <formula>E10&lt;G10</formula>
    </cfRule>
  </conditionalFormatting>
  <conditionalFormatting sqref="F10:F14">
    <cfRule type="expression" dxfId="1" priority="4">
      <formula>D10&lt;F10</formula>
    </cfRule>
  </conditionalFormatting>
  <conditionalFormatting sqref="G12">
    <cfRule type="expression" dxfId="0" priority="1">
      <formula>E12&lt;G12</formula>
    </cfRule>
  </conditionalFormatting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961D859B1A8B4697EC07BF3C3DAD3B" ma:contentTypeVersion="15" ma:contentTypeDescription="新しいドキュメントを作成します。" ma:contentTypeScope="" ma:versionID="ab0ad3b8596db009aba937b3e43a8a7f">
  <xsd:schema xmlns:xsd="http://www.w3.org/2001/XMLSchema" xmlns:xs="http://www.w3.org/2001/XMLSchema" xmlns:p="http://schemas.microsoft.com/office/2006/metadata/properties" xmlns:ns2="02709b60-37ec-424b-b681-c6612ac7fe32" xmlns:ns3="f9048785-d070-4c78-8f2f-ed2b48eb345c" targetNamespace="http://schemas.microsoft.com/office/2006/metadata/properties" ma:root="true" ma:fieldsID="bd157c9246152f7d64d090db49938ccd" ns2:_="" ns3:_="">
    <xsd:import namespace="02709b60-37ec-424b-b681-c6612ac7fe32"/>
    <xsd:import namespace="f9048785-d070-4c78-8f2f-ed2b48eb34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09b60-37ec-424b-b681-c6612ac7fe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48785-d070-4c78-8f2f-ed2b48eb34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76fc6dc-39d0-4a2e-a4a9-623828d4e622}" ma:internalName="TaxCatchAll" ma:showField="CatchAllData" ma:web="f9048785-d070-4c78-8f2f-ed2b48eb34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9048785-d070-4c78-8f2f-ed2b48eb345c">
      <UserInfo>
        <DisplayName/>
        <AccountId xsi:nil="true"/>
        <AccountType/>
      </UserInfo>
    </SharedWithUsers>
    <TaxCatchAll xmlns="f9048785-d070-4c78-8f2f-ed2b48eb345c" xsi:nil="true"/>
    <lcf76f155ced4ddcb4097134ff3c332f xmlns="02709b60-37ec-424b-b681-c6612ac7fe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750451-81D0-4123-9068-1385884A2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09b60-37ec-424b-b681-c6612ac7fe32"/>
    <ds:schemaRef ds:uri="f9048785-d070-4c78-8f2f-ed2b48eb34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f9048785-d070-4c78-8f2f-ed2b48eb345c"/>
    <ds:schemaRef ds:uri="02709b60-37ec-424b-b681-c6612ac7fe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進捗確認表</vt:lpstr>
      <vt:lpstr>進捗確認表_記入例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2021-12-14T20:18:50Z</dcterms:created>
  <dcterms:modified xsi:type="dcterms:W3CDTF">2026-04-23T05:31:31Z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0x010100C2961D859B1A8B4697EC07BF3C3DAD3B</vt:lpwstr>
  </property>
  <property fmtid="{D5CDD505-2E9C-101B-9397-08002B2CF9AE}" pid="3" name="Order">
    <vt:r8>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